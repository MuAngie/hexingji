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170753c1a42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f678789bdff04ea5"/>
    <x:sheet xmlns:r="http://schemas.openxmlformats.org/officeDocument/2006/relationships" name="种地吧S1" sheetId="2" r:id="R82b62fd75be84b88"/>
    <x:sheet xmlns:r="http://schemas.openxmlformats.org/officeDocument/2006/relationships" name="你好种地少年S1-S2" sheetId="3" r:id="Rf89bbd794da04c5a"/>
    <x:sheet xmlns:r="http://schemas.openxmlformats.org/officeDocument/2006/relationships" name="种地吧S2" sheetId="4" r:id="Red6433b99c9f43b3"/>
    <x:sheet xmlns:r="http://schemas.openxmlformats.org/officeDocument/2006/relationships" name="种地吧S3" sheetId="5" r:id="Rcb14ea67325a4ff5"/>
    <x:sheet xmlns:r="http://schemas.openxmlformats.org/officeDocument/2006/relationships" name="种地吧S4" sheetId="6" r:id="Rc0741838c3ed42f5"/>
    <x:sheet xmlns:r="http://schemas.openxmlformats.org/officeDocument/2006/relationships" name="助农主线" sheetId="7" r:id="R8f3bc9ad19934031"/>
    <x:sheet xmlns:r="http://schemas.openxmlformats.org/officeDocument/2006/relationships" name="来源与口径" sheetId="8" r:id="R019347592c944ed2"/>
    <x:sheet xmlns:r="http://schemas.openxmlformats.org/officeDocument/2006/relationships" name="助农实体库" sheetId="9" r:id="R72178d99b97a49d1"/>
    <x:sheet xmlns:r="http://schemas.openxmlformats.org/officeDocument/2006/relationships" name="助农事件明细" sheetId="10" r:id="Rf21c1e89341542ee"/>
    <x:sheet xmlns:r="http://schemas.openxmlformats.org/officeDocument/2006/relationships" name="农产品与渠道" sheetId="11" r:id="R884385b1477e424e"/>
    <x:sheet xmlns:r="http://schemas.openxmlformats.org/officeDocument/2006/relationships" name="回访与长期关系" sheetId="12" r:id="Rabdd67b6eed14912"/>
    <x:sheet xmlns:r="http://schemas.openxmlformats.org/officeDocument/2006/relationships" name="助农Dashboard" sheetId="13" r:id="R0bf65d631bf94595"/>
    <x:sheet xmlns:r="http://schemas.openxmlformats.org/officeDocument/2006/relationships" name="数据字典" sheetId="14" r:id="Rafb86fd015eb42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3B24"/>
      <x:name val="Carlito"/>
    </x:font>
    <x:font>
      <x:b/>
      <x:sz val="14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24492C"/>
      </x:patternFill>
    </x:fill>
    <x:fill>
      <x:patternFill patternType="solid">
        <x:fgColor rgb="FF355E3B"/>
      </x:patternFill>
    </x:fill>
    <x:fill>
      <x:patternFill patternType="solid">
        <x:fgColor rgb="FFDCE8D8"/>
      </x:patternFill>
    </x:fill>
    <x:fill>
      <x:patternFill patternType="solid">
        <x:fgColor rgb="FFFFF2CC"/>
      </x:patternFill>
    </x:fill>
    <x:fill>
      <x:patternFill patternType="solid">
        <x:fgColor rgb="FFFFFBEA"/>
      </x:patternFill>
    </x:fill>
    <x:fill>
      <x:patternFill patternType="solid">
        <x:fgColor rgb="FF355E3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24492C"/>
      </x:patternFill>
    </x:fill>
    <x:fill>
      <x:patternFill patternType="solid">
        <x:fgColor rgb="FFDCE8D8"/>
      </x:patternFill>
    </x:fill>
    <x:fill>
      <x:patternFill patternType="solid">
        <x:fgColor rgb="FF355E3B"/>
      </x:patternFill>
    </x:fill>
    <x:fill>
      <x:patternFill patternType="solid">
        <x:fgColor rgb="FFDCE8D8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/>
    </x:xf>
    <x:xf numFmtId="0" fontId="2" fillId="12" borderId="0" xfId="0" applyNumberFormat="1" applyFont="1" applyFill="1" applyBorder="1" applyAlignment="1">
      <x:alignment horizontal="center" vertical="center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9ab2c5a1ee4c8e" /><Relationship Type="http://schemas.openxmlformats.org/officeDocument/2006/relationships/theme" Target="/xl/theme/theme1.xml" Id="R9b895c60a4214e8c" /><Relationship Type="http://schemas.openxmlformats.org/officeDocument/2006/relationships/sharedStrings" Target="/xl/sharedStrings.xml" Id="R3fcab141c9d84988" /><Relationship Type="http://schemas.openxmlformats.org/officeDocument/2006/relationships/worksheet" Target="/xl/worksheets/sheet1.xml" Id="Rf678789bdff04ea5" /><Relationship Type="http://schemas.openxmlformats.org/officeDocument/2006/relationships/worksheet" Target="/xl/worksheets/sheet2.xml" Id="R82b62fd75be84b88" /><Relationship Type="http://schemas.openxmlformats.org/officeDocument/2006/relationships/worksheet" Target="/xl/worksheets/sheet3.xml" Id="Rf89bbd794da04c5a" /><Relationship Type="http://schemas.openxmlformats.org/officeDocument/2006/relationships/worksheet" Target="/xl/worksheets/sheet4.xml" Id="Red6433b99c9f43b3" /><Relationship Type="http://schemas.openxmlformats.org/officeDocument/2006/relationships/worksheet" Target="/xl/worksheets/sheet5.xml" Id="Rcb14ea67325a4ff5" /><Relationship Type="http://schemas.openxmlformats.org/officeDocument/2006/relationships/worksheet" Target="/xl/worksheets/sheet6.xml" Id="Rc0741838c3ed42f5" /><Relationship Type="http://schemas.openxmlformats.org/officeDocument/2006/relationships/worksheet" Target="/xl/worksheets/sheet7.xml" Id="R8f3bc9ad19934031" /><Relationship Type="http://schemas.openxmlformats.org/officeDocument/2006/relationships/worksheet" Target="/xl/worksheets/sheet8.xml" Id="R019347592c944ed2" /><Relationship Type="http://schemas.openxmlformats.org/officeDocument/2006/relationships/worksheet" Target="/xl/worksheets/sheet9.xml" Id="R72178d99b97a49d1" /><Relationship Type="http://schemas.openxmlformats.org/officeDocument/2006/relationships/worksheet" Target="/xl/worksheets/sheet10.xml" Id="Rf21c1e89341542ee" /><Relationship Type="http://schemas.openxmlformats.org/officeDocument/2006/relationships/worksheet" Target="/xl/worksheets/sheet11.xml" Id="R884385b1477e424e" /><Relationship Type="http://schemas.openxmlformats.org/officeDocument/2006/relationships/worksheet" Target="/xl/worksheets/sheet12.xml" Id="Rabdd67b6eed14912" /><Relationship Type="http://schemas.openxmlformats.org/officeDocument/2006/relationships/worksheet" Target="/xl/worksheets/sheet13.xml" Id="R0bf65d631bf94595" /><Relationship Type="http://schemas.openxmlformats.org/officeDocument/2006/relationships/worksheet" Target="/xl/worksheets/sheet14.xml" Id="Rafb86fd015eb42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9d108294a134e6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77c8b97aa364ef8" /><Relationship Type="http://schemas.openxmlformats.org/officeDocument/2006/relationships/chart" Target="/xl/drawings/charts/chart3.xml" Id="Re16df5e9c47e405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助农模式演化（概念层级）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代表性助农层级</c:v>
          </c:tx>
          <c:cat>
            <c:strRef>
              <c:f>'总览'!$J$4:$J$8</c:f>
              <c:strCache>
                <c:ptCount val="0"/>
              </c:strCache>
            </c:strRef>
          </c:cat>
          <c:val>
            <c:numRef>
              <c:f>'总览'!$K$4:$K$8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各季助农事件与长期机制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事件数</c:v>
          </c:tx>
          <c:cat>
            <c:strRef>
              <c:f>'助农Dashboard'!$D$4:$D$6</c:f>
              <c:strCache>
                <c:ptCount val="0"/>
              </c:strCache>
            </c:strRef>
          </c:cat>
          <c:val>
            <c:numRef>
              <c:f>'助农Dashboard'!$E$4:$E$6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强闭环/长期事件</c:v>
          </c:tx>
          <c:cat>
            <c:strRef>
              <c:f>'助农Dashboard'!$D$4:$D$6</c:f>
              <c:strCache>
                <c:ptCount val="0"/>
              </c:strCache>
            </c:strRef>
          </c:cat>
          <c:val>
            <c:numRef>
              <c:f>'助农Dashboard'!$F$4:$F$6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助农方式分布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事件数</c:v>
          </c:tx>
          <c:cat>
            <c:strRef>
              <c:f>'助农Dashboard'!$D$10:$D$15</c:f>
              <c:strCache>
                <c:ptCount val="0"/>
              </c:strCache>
            </c:strRef>
          </c:cat>
          <c:val>
            <c:numRef>
              <c:f>'助农Dashboard'!$E$10:$E$15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9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d108294a134e6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7c8b97aa364ef8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6df5e9c47e405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idEntities" displayName="AidEntities" ref="A1:N20" headerRowCount="1" totalsRowCount="0" totalsRowShown="0">
  <x:tableColumns count="14">
    <x:tableColumn id="1" name="实体ID"/>
    <x:tableColumn id="2" name="实体/对象"/>
    <x:tableColumn id="3" name="类型"/>
    <x:tableColumn id="4" name="地区"/>
    <x:tableColumn id="5" name="首次接触"/>
    <x:tableColumn id="6" name="主要产品/资源"/>
    <x:tableColumn id="7" name="核心诉求/问题"/>
    <x:tableColumn id="8" name="关系级别"/>
    <x:tableColumn id="9" name="关联事件数"/>
    <x:tableColumn id="10" name="跨季延续"/>
    <x:tableColumn id="11" name="最新可验证结果"/>
    <x:tableColumn id="12" name="最新状态"/>
    <x:tableColumn id="13" name="置信度"/>
    <x:tableColumn id="14" name="主要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AidEvents" displayName="AidEvents" ref="A1:R32" headerRowCount="1" totalsRowCount="0" totalsRowShown="0">
  <x:tableColumns count="18">
    <x:tableColumn id="1" name="事件ID"/>
    <x:tableColumn id="2" name="时间/播出"/>
    <x:tableColumn id="3" name="节目"/>
    <x:tableColumn id="4" name="期数/节点"/>
    <x:tableColumn id="5" name="实体ID"/>
    <x:tableColumn id="6" name="实体/对象"/>
    <x:tableColumn id="7" name="助农层级"/>
    <x:tableColumn id="8" name="事件类型"/>
    <x:tableColumn id="9" name="发现问题"/>
    <x:tableColumn id="10" name="实际行动"/>
    <x:tableColumn id="11" name="可验证结果"/>
    <x:tableColumn id="12" name="后续/下一步"/>
    <x:tableColumn id="13" name="回访/延续"/>
    <x:tableColumn id="14" name="产品ID"/>
    <x:tableColumn id="15" name="置信度"/>
    <x:tableColumn id="16" name="来源1"/>
    <x:tableColumn id="17" name="来源2"/>
    <x:tableColumn id="18" name="量化结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idProducts" displayName="AidProducts" ref="A1:K15" headerRowCount="1" totalsRowCount="0" totalsRowShown="0">
  <x:tableColumns count="11">
    <x:tableColumn id="1" name="产品ID"/>
    <x:tableColumn id="2" name="产品/项目"/>
    <x:tableColumn id="3" name="地区"/>
    <x:tableColumn id="4" name="关联实体ID"/>
    <x:tableColumn id="5" name="首次节目"/>
    <x:tableColumn id="6" name="原料/形态"/>
    <x:tableColumn id="7" name="产品/产业升级"/>
    <x:tableColumn id="8" name="销售/渠道"/>
    <x:tableColumn id="9" name="可量化结果"/>
    <x:tableColumn id="10" name="后续状态"/>
    <x:tableColumn id="11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idRelationships" displayName="AidRelationships" ref="A1:L12" headerRowCount="1" totalsRowCount="0" totalsRowShown="0">
  <x:tableColumns count="12">
    <x:tableColumn id="1" name="关系ID"/>
    <x:tableColumn id="2" name="对象/项目"/>
    <x:tableColumn id="3" name="起点：发现问题"/>
    <x:tableColumn id="4" name="第一次行动"/>
    <x:tableColumn id="5" name="中间节点"/>
    <x:tableColumn id="6" name="回访/验收节点"/>
    <x:tableColumn id="7" name="可验证变化"/>
    <x:tableColumn id="8" name="关系判定"/>
    <x:tableColumn id="9" name="跨季"/>
    <x:tableColumn id="10" name="当前状态"/>
    <x:tableColumn id="11" name="证据强度"/>
    <x:tableColumn id="12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c44472f55b40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7a583c4844754c4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.xml" Id="R002109ba082946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3.xml" Id="Rc0e85d88259b4fe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4.xml" Id="R1dfa10d200d64ec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2.xml" Id="R47bff7c82b0c4f1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5" hidden="0" customWidth="1"/>
    <x:col min="4" max="4" width="28" hidden="0" customWidth="1"/>
    <x:col min="5" max="5" width="35" hidden="0" customWidth="1"/>
    <x:col min="6" max="6" width="38" hidden="0" customWidth="1"/>
    <x:col min="7" max="7" width="12" hidden="0" customWidth="1"/>
    <x:col min="8" max="8" width="30" hidden="0" customWidth="1"/>
  </x:cols>
  <x:sheetData>
    <x:row r="1">
      <x:c r="A1" s="4" t="str">
        <x:v>《种地吧》全四季 + 《你好，种地少年》助农故事线整理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节目</x:v>
      </x:c>
      <x:c r="B3" s="11" t="str">
        <x:v>覆盖范围</x:v>
      </x:c>
      <x:c r="C3" s="11" t="str">
        <x:v>核心叙事</x:v>
      </x:c>
      <x:c r="D3" s="11" t="str">
        <x:v>助农阶段</x:v>
      </x:c>
      <x:c r="E3" s="11" t="str">
        <x:v>主要方法</x:v>
      </x:c>
      <x:c r="F3" s="11" t="str">
        <x:v>代表案例</x:v>
      </x:c>
      <x:c r="G3" s="11" t="str">
        <x:v>状态</x:v>
      </x:c>
      <x:c r="H3" s="11" t="str">
        <x:v>口径说明</x:v>
      </x:c>
      <x:c r="J3" t="str">
        <x:v>阶段</x:v>
      </x:c>
      <x:c r="K3" t="str">
        <x:v>代表性助农层级</x:v>
      </x:c>
    </x:row>
    <x:row r="4">
      <x:c r="A4" s="16" t="str">
        <x:v>种地吧S1</x:v>
      </x:c>
      <x:c r="B4" s="16" t="str">
        <x:v>正片50期</x:v>
      </x:c>
      <x:c r="C4" s="16" t="str">
        <x:v>从荒地到完成一季农业生产，并形成十个勤天公司雏形</x:v>
      </x:c>
      <x:c r="D4" s="16" t="str">
        <x:v>阶段0：先成为真正的生产者</x:v>
      </x:c>
      <x:c r="E4" s="16" t="str">
        <x:v>亲手种植、养殖、建设、农夫市集</x:v>
      </x:c>
      <x:c r="F4" s="16" t="str">
        <x:v>水稻/小麦/玫瑰/养殖；农夫市集</x:v>
      </x:c>
      <x:c r="G4" s="16" t="str">
        <x:v>完结</x:v>
      </x:c>
      <x:c r="H4" s="16" t="str">
        <x:v>正片期数口径，不含加更</x:v>
      </x:c>
      <x:c r="J4" t="str">
        <x:v>S1</x:v>
      </x:c>
      <x:c r="K4" t="n">
        <x:v>1</x:v>
      </x:c>
    </x:row>
    <x:row r="5">
      <x:c r="A5" s="16" t="str">
        <x:v>你好种地少年S1</x:v>
      </x:c>
      <x:c r="B5" s="16" t="str">
        <x:v>10期</x:v>
      </x:c>
      <x:c r="C5" s="16" t="str">
        <x:v>回到成员家乡并进行秋收农业游学</x:v>
      </x:c>
      <x:c r="D5" s="16" t="str">
        <x:v>阶段1：看见不同农业与新农人</x:v>
      </x:c>
      <x:c r="E5" s="16" t="str">
        <x:v>游学、劳作、拜访农户</x:v>
      </x:c>
      <x:c r="F5" s="16" t="str">
        <x:v>山东海产、内蒙古秋收、各地乡村体验</x:v>
      </x:c>
      <x:c r="G5" s="16" t="str">
        <x:v>完结</x:v>
      </x:c>
      <x:c r="H5" s="16" t="str">
        <x:v>农业游学，不等同每期都构成直接助农</x:v>
      </x:c>
      <x:c r="J5" t="str">
        <x:v>你好种地少年</x:v>
      </x:c>
      <x:c r="K5" t="n">
        <x:v>2</x:v>
      </x:c>
    </x:row>
    <x:row r="6">
      <x:c r="A6" s="16" t="str">
        <x:v>种地吧S2</x:v>
      </x:c>
      <x:c r="B6" s="16" t="str">
        <x:v>正片43期</x:v>
      </x:c>
      <x:c r="C6" s="16" t="str">
        <x:v>综合农场经营：设施农业+水产+加工+销售+品牌</x:v>
      </x:c>
      <x:c r="D6" s="16" t="str">
        <x:v>阶段2：从自营走向异地助农/周边采购</x:v>
      </x:c>
      <x:c r="E6" s="16" t="str">
        <x:v>治沙、助农直播、收购滞销农产、品牌销售</x:v>
      </x:c>
      <x:c r="F6" s="16" t="str">
        <x:v>甘肃民勤梭梭+人参果；邻农草莓；杨梅采购</x:v>
      </x:c>
      <x:c r="G6" s="16" t="str">
        <x:v>完结</x:v>
      </x:c>
      <x:c r="H6" s="16" t="str">
        <x:v>沿用上一轮43期整理逻辑</x:v>
      </x:c>
      <x:c r="J6" t="str">
        <x:v>S2</x:v>
      </x:c>
      <x:c r="K6" t="n">
        <x:v>3</x:v>
      </x:c>
    </x:row>
    <x:row r="7">
      <x:c r="A7" s="16" t="str">
        <x:v>你好种地少年S2</x:v>
      </x:c>
      <x:c r="B7" s="16" t="str">
        <x:v>10期</x:v>
      </x:c>
      <x:c r="C7" s="16" t="str">
        <x:v>新疆、宁夏、甘肃、重庆、广东、浙江等地农业游学</x:v>
      </x:c>
      <x:c r="D7" s="16" t="str">
        <x:v>阶段2.5：把游学变为产业考察</x:v>
      </x:c>
      <x:c r="E7" s="16" t="str">
        <x:v>产地学习、商业谈判、特色农业传播</x:v>
      </x:c>
      <x:c r="F7" s="16" t="str">
        <x:v>新疆红花/蟠桃、区域特色农业</x:v>
      </x:c>
      <x:c r="G7" s="16" t="str">
        <x:v>完结</x:v>
      </x:c>
      <x:c r="H7" s="16" t="str">
        <x:v>官方共10期</x:v>
      </x:c>
      <x:c r="J7" t="str">
        <x:v>S3</x:v>
      </x:c>
      <x:c r="K7" t="n">
        <x:v>4</x:v>
      </x:c>
    </x:row>
    <x:row r="8">
      <x:c r="A8" s="16" t="str">
        <x:v>种地吧S3</x:v>
      </x:c>
      <x:c r="B8" s="16" t="str">
        <x:v>正片40期</x:v>
      </x:c>
      <x:c r="C8" s="16" t="str">
        <x:v>打造农产品交流集散中心，系统性助农</x:v>
      </x:c>
      <x:c r="D8" s="16" t="str">
        <x:v>阶段3：合伙人+产销贯通</x:v>
      </x:c>
      <x:c r="E8" s="16" t="str">
        <x:v>乡村合伙人、产品研发、采购、直播、培训、基建</x:v>
      </x:c>
      <x:c r="F8" s="16" t="str">
        <x:v>宁乡沙棘、囊谦大棚/盐、咖啡、木兰校长等</x:v>
      </x:c>
      <x:c r="G8" s="16" t="str">
        <x:v>完结</x:v>
      </x:c>
      <x:c r="H8" s="16" t="str">
        <x:v>官方40期正片</x:v>
      </x:c>
      <x:c r="J8" t="str">
        <x:v>S4</x:v>
      </x:c>
      <x:c r="K8" t="n">
        <x:v>5</x:v>
      </x:c>
    </x:row>
    <x:row r="9">
      <x:c r="A9" s="16" t="str">
        <x:v>种地吧S4</x:v>
      </x:c>
      <x:c r="B9" s="16" t="str">
        <x:v>截至2026-08-28正片32期</x:v>
      </x:c>
      <x:c r="C9" s="16" t="str">
        <x:v>深入特色农业产区，直接寻找农产销路与产业方案</x:v>
      </x:c>
      <x:c r="D9" s="16" t="str">
        <x:v>阶段4：产地问题解决+长期渠道</x:v>
      </x:c>
      <x:c r="E9" s="16" t="str">
        <x:v>推介会、认养、研发、品牌化、灾后果品对策</x:v>
      </x:c>
      <x:c r="F9" s="16" t="str">
        <x:v>墨脱石斛/农产推介；策勒红枣；西双版纳受灾水果</x:v>
      </x:c>
      <x:c r="G9" s="16" t="str">
        <x:v>播出中</x:v>
      </x:c>
      <x:c r="H9" s="16" t="str">
        <x:v>截至2026-09-03；不含加更</x:v>
      </x:c>
    </x:row>
    <x:row r="11">
      <x:c r="A11" s="19" t="str">
        <x:v>跨季助农演化：生产者 → 观察者/学习者 → 助农执行者 → 乡村合伙人与产销平台 → 产地问题解决与长期合作</x:v>
      </x:c>
      <x:c r="B11" s="19"/>
      <x:c r="C11" s="19"/>
      <x:c r="D11" s="19"/>
      <x:c r="E11" s="19"/>
      <x:c r="F11" s="19"/>
      <x:c r="G11" s="19"/>
      <x:c r="H11" s="19"/>
    </x:row>
    <x:row r="13" ht="40" customHeight="1">
      <x:c r="A13" s="49" t="str">
        <x:v>数据库升级：新增“助农实体库 / 助农事件明细 / 农产品与渠道 / 回访与长期关系 / 助农Dashboard / 数据字典”。建议研究助农时优先从 Dashboard 与“回访与长期关系”开始。</x:v>
      </x:c>
      <x:c r="B13" s="49"/>
      <x:c r="C13" s="49"/>
      <x:c r="D13" s="49"/>
      <x:c r="E13" s="49"/>
      <x:c r="F13" s="49"/>
      <x:c r="G13" s="49"/>
      <x:c r="H13" s="49"/>
    </x:row>
  </x:sheetData>
  <x:mergeCells>
    <x:mergeCell ref="A1:H1"/>
    <x:mergeCell ref="A11:H11"/>
    <x:mergeCell ref="A13:H13"/>
  </x:mergeCells>
  <x:pageMargins left="0.7" right="0.7" top="0.75" bottom="0.75" header="0.3" footer="0.3"/>
  <x:drawing xmlns:r="http://schemas.openxmlformats.org/officeDocument/2006/relationships" r:id="R58c44472f55b4097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45" hidden="0" customWidth="1"/>
    <x:col min="4" max="4" width="28" hidden="0" customWidth="1"/>
    <x:col min="5" max="5" width="28" hidden="0" customWidth="1"/>
    <x:col min="6" max="6" width="42" hidden="0" customWidth="1"/>
    <x:col min="7" max="7" width="16" hidden="0" customWidth="1"/>
    <x:col min="8" max="8" width="42" hidden="0" customWidth="1"/>
    <x:col min="9" max="9" width="20" hidden="0" customWidth="1"/>
    <x:col min="10" max="10" width="10" hidden="0" customWidth="1"/>
    <x:col min="11" max="11" width="45" hidden="0" customWidth="1"/>
  </x:cols>
  <x:sheetData>
    <x:row r="1">
      <x:c r="A1" s="25" t="str">
        <x:v>节目/季</x:v>
      </x:c>
      <x:c r="B1" s="25" t="str">
        <x:v>期数</x:v>
      </x:c>
      <x:c r="C1" s="25" t="str">
        <x:v>主要事件</x:v>
      </x:c>
      <x:c r="D1" s="25" t="str">
        <x:v>十个勤天外重要人物</x:v>
      </x:c>
      <x:c r="E1" s="25" t="str">
        <x:v>故事线</x:v>
      </x:c>
      <x:c r="F1" s="25" t="str">
        <x:v>助农/惠农事件</x:v>
      </x:c>
      <x:c r="G1" s="25" t="str">
        <x:v>助农类型</x:v>
      </x:c>
      <x:c r="H1" s="25" t="str">
        <x:v>跨期/跨季串联</x:v>
      </x:c>
      <x:c r="I1" s="25" t="str">
        <x:v>地点</x:v>
      </x:c>
      <x:c r="J1" s="25" t="str">
        <x:v>置信度</x:v>
      </x:c>
      <x:c r="K1" s="25" t="str">
        <x:v>来源</x:v>
      </x:c>
    </x:row>
    <x:row r="2">
      <x:c r="A2" s="16" t="str">
        <x:v>种地吧S1</x:v>
      </x:c>
      <x:c r="B2" s="16" t="n">
        <x:v>1</x:v>
      </x:c>
      <x:c r="C2" s="16" t="str">
        <x:v>抢收原有水稻，正式进入农田</x:v>
      </x:c>
      <x:c r="D2" s="16" t="str">
        <x:v>节目技术人员/农机师傅/来访嘉宾（视当期）</x:v>
      </x:c>
      <x:c r="E2" s="16" t="str">
        <x:v>S1主线：从农业新手到能独立完成大田、基建、种植、养殖和经营的一季生产者。</x:v>
      </x:c>
      <x:c r="F2" s="16" t="str">
        <x:v>—</x:v>
      </x:c>
      <x:c r="G2" s="16" t="str">
        <x:v>—</x:v>
      </x:c>
      <x:c r="H2" s="16" t="str"/>
      <x:c r="I2" s="16" t="str">
        <x:v>浙江杭州后陡门/外出地</x:v>
      </x:c>
      <x:c r="J2" s="16" t="str">
        <x:v>中</x:v>
      </x:c>
      <x:c r="K2" s="16" t="str">
        <x:v>https://www.tvmao.com/tvcolumn/J2RiY2Js/section/33624</x:v>
      </x:c>
    </x:row>
    <x:row r="3">
      <x:c r="A3" s="16" t="str">
        <x:v>种地吧S1</x:v>
      </x:c>
      <x:c r="B3" s="16" t="n">
        <x:v>2</x:v>
      </x:c>
      <x:c r="C3" s="16" t="str">
        <x:v>生活与住处改造，建立长期驻场节奏</x:v>
      </x:c>
      <x:c r="D3" s="16" t="str">
        <x:v>节目技术人员/农机师傅/来访嘉宾（视当期）</x:v>
      </x:c>
      <x:c r="E3" s="16" t="str">
        <x:v>S1主线：从农业新手到能独立完成大田、基建、种植、养殖和经营的一季生产者。</x:v>
      </x:c>
      <x:c r="F3" s="16" t="str">
        <x:v>—</x:v>
      </x:c>
      <x:c r="G3" s="16" t="str">
        <x:v>—</x:v>
      </x:c>
      <x:c r="H3" s="16" t="str"/>
      <x:c r="I3" s="16" t="str">
        <x:v>浙江杭州后陡门/外出地</x:v>
      </x:c>
      <x:c r="J3" s="16" t="str">
        <x:v>中</x:v>
      </x:c>
      <x:c r="K3" s="16" t="str">
        <x:v>https://www.tvmao.com/tvcolumn/J2RiY2Js/section/33624</x:v>
      </x:c>
    </x:row>
    <x:row r="4">
      <x:c r="A4" s="16" t="str">
        <x:v>种地吧S1</x:v>
      </x:c>
      <x:c r="B4" s="16" t="n">
        <x:v>3</x:v>
      </x:c>
      <x:c r="C4" s="16" t="str">
        <x:v>研究农业科技与机械化方案</x:v>
      </x:c>
      <x:c r="D4" s="16" t="str">
        <x:v>节目技术人员/农机师傅/来访嘉宾（视当期）</x:v>
      </x:c>
      <x:c r="E4" s="16" t="str">
        <x:v>S1主线：从农业新手到能独立完成大田、基建、种植、养殖和经营的一季生产者。</x:v>
      </x:c>
      <x:c r="F4" s="16" t="str">
        <x:v>—</x:v>
      </x:c>
      <x:c r="G4" s="16" t="str">
        <x:v>—</x:v>
      </x:c>
      <x:c r="H4" s="16" t="str"/>
      <x:c r="I4" s="16" t="str">
        <x:v>浙江杭州后陡门/外出地</x:v>
      </x:c>
      <x:c r="J4" s="16" t="str">
        <x:v>中</x:v>
      </x:c>
      <x:c r="K4" s="16" t="str">
        <x:v>https://www.tvmao.com/tvcolumn/J2RiY2Js/section/33624</x:v>
      </x:c>
    </x:row>
    <x:row r="5">
      <x:c r="A5" s="16" t="str">
        <x:v>种地吧S1</x:v>
      </x:c>
      <x:c r="B5" s="16" t="n">
        <x:v>4</x:v>
      </x:c>
      <x:c r="C5" s="16" t="str">
        <x:v>搬运大批化肥，并参观羊场</x:v>
      </x:c>
      <x:c r="D5" s="16" t="str">
        <x:v>徐志胜；羊场工作人员；农资运输人员</x:v>
      </x:c>
      <x:c r="E5" s="16" t="str">
        <x:v>S1主线：从农业新手到能独立完成大田、基建、种植、养殖和经营的一季生产者。</x:v>
      </x:c>
      <x:c r="F5" s="16" t="str">
        <x:v>—</x:v>
      </x:c>
      <x:c r="G5" s="16" t="str">
        <x:v>—</x:v>
      </x:c>
      <x:c r="H5" s="16" t="str"/>
      <x:c r="I5" s="16" t="str">
        <x:v>浙江杭州后陡门/外出地</x:v>
      </x:c>
      <x:c r="J5" s="16" t="str">
        <x:v>中</x:v>
      </x:c>
      <x:c r="K5" s="16" t="str">
        <x:v>https://www.tvmao.com/tvcolumn/J2RiY2Js/section/33624</x:v>
      </x:c>
    </x:row>
    <x:row r="6">
      <x:c r="A6" s="16" t="str">
        <x:v>种地吧S1</x:v>
      </x:c>
      <x:c r="B6" s="16" t="n">
        <x:v>5</x:v>
      </x:c>
      <x:c r="C6" s="16" t="str">
        <x:v>播种/农机作业继续，嘉宾参与劳动</x:v>
      </x:c>
      <x:c r="D6" s="16" t="str">
        <x:v>庞博等来访嘉宾；农业/施工人员</x:v>
      </x:c>
      <x:c r="E6" s="16" t="str">
        <x:v>S1主线：从农业新手到能独立完成大田、基建、种植、养殖和经营的一季生产者。</x:v>
      </x:c>
      <x:c r="F6" s="16" t="str">
        <x:v>—</x:v>
      </x:c>
      <x:c r="G6" s="16" t="str">
        <x:v>—</x:v>
      </x:c>
      <x:c r="H6" s="16" t="str"/>
      <x:c r="I6" s="16" t="str">
        <x:v>浙江杭州后陡门/外出地</x:v>
      </x:c>
      <x:c r="J6" s="16" t="str">
        <x:v>中</x:v>
      </x:c>
      <x:c r="K6" s="16" t="str">
        <x:v>https://www.tvmao.com/tvcolumn/J2RiY2Js/section/33624</x:v>
      </x:c>
    </x:row>
    <x:row r="7">
      <x:c r="A7" s="16" t="str">
        <x:v>种地吧S1</x:v>
      </x:c>
      <x:c r="B7" s="16" t="n">
        <x:v>6</x:v>
      </x:c>
      <x:c r="C7" s="16" t="str">
        <x:v>无人机播种等科技农业实践</x:v>
      </x:c>
      <x:c r="D7" s="16" t="str">
        <x:v>节目技术人员/农机师傅/来访嘉宾（视当期）</x:v>
      </x:c>
      <x:c r="E7" s="16" t="str">
        <x:v>S1主线：从农业新手到能独立完成大田、基建、种植、养殖和经营的一季生产者。</x:v>
      </x:c>
      <x:c r="F7" s="16" t="str">
        <x:v>—</x:v>
      </x:c>
      <x:c r="G7" s="16" t="str">
        <x:v>—</x:v>
      </x:c>
      <x:c r="H7" s="16" t="str"/>
      <x:c r="I7" s="16" t="str">
        <x:v>浙江杭州后陡门/外出地</x:v>
      </x:c>
      <x:c r="J7" s="16" t="str">
        <x:v>中</x:v>
      </x:c>
      <x:c r="K7" s="16" t="str">
        <x:v>https://www.tvmao.com/tvcolumn/J2RiY2Js/section/33624</x:v>
      </x:c>
    </x:row>
    <x:row r="8">
      <x:c r="A8" s="16" t="str">
        <x:v>种地吧S1</x:v>
      </x:c>
      <x:c r="B8" s="16" t="n">
        <x:v>7</x:v>
      </x:c>
      <x:c r="C8" s="16" t="str">
        <x:v>基建与生活设施继续建设</x:v>
      </x:c>
      <x:c r="D8" s="16" t="str">
        <x:v>庞博等来访嘉宾；农业/施工人员</x:v>
      </x:c>
      <x:c r="E8" s="16" t="str">
        <x:v>S1主线：从农业新手到能独立完成大田、基建、种植、养殖和经营的一季生产者。</x:v>
      </x:c>
      <x:c r="F8" s="16" t="str">
        <x:v>—</x:v>
      </x:c>
      <x:c r="G8" s="16" t="str">
        <x:v>—</x:v>
      </x:c>
      <x:c r="H8" s="16" t="str"/>
      <x:c r="I8" s="16" t="str">
        <x:v>浙江杭州后陡门/外出地</x:v>
      </x:c>
      <x:c r="J8" s="16" t="str">
        <x:v>中</x:v>
      </x:c>
      <x:c r="K8" s="16" t="str">
        <x:v>https://www.tvmao.com/tvcolumn/J2RiY2Js/section/33624</x:v>
      </x:c>
    </x:row>
    <x:row r="9">
      <x:c r="A9" s="16" t="str">
        <x:v>种地吧S1</x:v>
      </x:c>
      <x:c r="B9" s="16" t="n">
        <x:v>8</x:v>
      </x:c>
      <x:c r="C9" s="16" t="str">
        <x:v>房屋装修、地砖等生活基建</x:v>
      </x:c>
      <x:c r="D9" s="16" t="str">
        <x:v>节目技术人员/农机师傅/来访嘉宾（视当期）</x:v>
      </x:c>
      <x:c r="E9" s="16" t="str">
        <x:v>S1主线：从农业新手到能独立完成大田、基建、种植、养殖和经营的一季生产者。</x:v>
      </x:c>
      <x:c r="F9" s="16" t="str">
        <x:v>—</x:v>
      </x:c>
      <x:c r="G9" s="16" t="str">
        <x:v>—</x:v>
      </x:c>
      <x:c r="H9" s="16" t="str"/>
      <x:c r="I9" s="16" t="str">
        <x:v>浙江杭州后陡门/外出地</x:v>
      </x:c>
      <x:c r="J9" s="16" t="str">
        <x:v>中</x:v>
      </x:c>
      <x:c r="K9" s="16" t="str">
        <x:v>https://www.tvmao.com/tvcolumn/J2RiY2Js/section/33624</x:v>
      </x:c>
    </x:row>
    <x:row r="10">
      <x:c r="A10" s="16" t="str">
        <x:v>种地吧S1</x:v>
      </x:c>
      <x:c r="B10" s="16" t="n">
        <x:v>9</x:v>
      </x:c>
      <x:c r="C10" s="16" t="str">
        <x:v>春节前后农事推进与团队磨合</x:v>
      </x:c>
      <x:c r="D10" s="16" t="str">
        <x:v>节目技术人员/农机师傅/来访嘉宾（视当期）</x:v>
      </x:c>
      <x:c r="E10" s="16" t="str">
        <x:v>S1主线：从农业新手到能独立完成大田、基建、种植、养殖和经营的一季生产者。</x:v>
      </x:c>
      <x:c r="F10" s="16" t="str">
        <x:v>—</x:v>
      </x:c>
      <x:c r="G10" s="16" t="str">
        <x:v>—</x:v>
      </x:c>
      <x:c r="H10" s="16" t="str"/>
      <x:c r="I10" s="16" t="str">
        <x:v>浙江杭州后陡门/外出地</x:v>
      </x:c>
      <x:c r="J10" s="16" t="str">
        <x:v>中</x:v>
      </x:c>
      <x:c r="K10" s="16" t="str">
        <x:v>https://www.tvmao.com/tvcolumn/J2RiY2Js/section/33624</x:v>
      </x:c>
    </x:row>
    <x:row r="11">
      <x:c r="A11" s="16" t="str">
        <x:v>种地吧S1</x:v>
      </x:c>
      <x:c r="B11" s="16" t="n">
        <x:v>10</x:v>
      </x:c>
      <x:c r="C11" s="16" t="str">
        <x:v>少年之家建设与拖车等农活</x:v>
      </x:c>
      <x:c r="D11" s="16" t="str">
        <x:v>节目技术人员/农机师傅/来访嘉宾（视当期）</x:v>
      </x:c>
      <x:c r="E11" s="16" t="str">
        <x:v>S1主线：从农业新手到能独立完成大田、基建、种植、养殖和经营的一季生产者。</x:v>
      </x:c>
      <x:c r="F11" s="16" t="str">
        <x:v>—</x:v>
      </x:c>
      <x:c r="G11" s="16" t="str">
        <x:v>—</x:v>
      </x:c>
      <x:c r="H11" s="16" t="str"/>
      <x:c r="I11" s="16" t="str">
        <x:v>浙江杭州后陡门/外出地</x:v>
      </x:c>
      <x:c r="J11" s="16" t="str">
        <x:v>中</x:v>
      </x:c>
      <x:c r="K11" s="16" t="str">
        <x:v>https://www.tvmao.com/tvcolumn/J2RiY2Js/section/33624</x:v>
      </x:c>
    </x:row>
    <x:row r="12">
      <x:c r="A12" s="16" t="str">
        <x:v>种地吧S1</x:v>
      </x:c>
      <x:c r="B12" s="16" t="n">
        <x:v>11</x:v>
      </x:c>
      <x:c r="C12" s="16" t="str">
        <x:v>继续播种施肥，外援参与</x:v>
      </x:c>
      <x:c r="D12" s="16" t="str">
        <x:v>呼兰、徐志胜等；农资/玫瑰供应人员</x:v>
      </x:c>
      <x:c r="E12" s="16" t="str">
        <x:v>S1主线：从农业新手到能独立完成大田、基建、种植、养殖和经营的一季生产者。</x:v>
      </x:c>
      <x:c r="F12" s="16" t="str">
        <x:v>—</x:v>
      </x:c>
      <x:c r="G12" s="16" t="str">
        <x:v>—</x:v>
      </x:c>
      <x:c r="H12" s="16" t="str"/>
      <x:c r="I12" s="16" t="str">
        <x:v>浙江杭州后陡门/外出地</x:v>
      </x:c>
      <x:c r="J12" s="16" t="str">
        <x:v>中</x:v>
      </x:c>
      <x:c r="K12" s="16" t="str">
        <x:v>https://www.tvmao.com/tvcolumn/J2RiY2Js/section/33624</x:v>
      </x:c>
    </x:row>
    <x:row r="13">
      <x:c r="A13" s="16" t="str">
        <x:v>种地吧S1</x:v>
      </x:c>
      <x:c r="B13" s="16" t="n">
        <x:v>12</x:v>
      </x:c>
      <x:c r="C13" s="16" t="str">
        <x:v>玫瑰项目大规模搬运与春节采购</x:v>
      </x:c>
      <x:c r="D13" s="16" t="str">
        <x:v>呼兰、徐志胜等；农资/玫瑰供应人员</x:v>
      </x:c>
      <x:c r="E13" s="16" t="str">
        <x:v>S1主线：从农业新手到能独立完成大田、基建、种植、养殖和经营的一季生产者。</x:v>
      </x:c>
      <x:c r="F13" s="16" t="str">
        <x:v>—</x:v>
      </x:c>
      <x:c r="G13" s="16" t="str">
        <x:v>—</x:v>
      </x:c>
      <x:c r="H13" s="16" t="str"/>
      <x:c r="I13" s="16" t="str">
        <x:v>浙江杭州后陡门/外出地</x:v>
      </x:c>
      <x:c r="J13" s="16" t="str">
        <x:v>中</x:v>
      </x:c>
      <x:c r="K13" s="16" t="str">
        <x:v>https://www.tvmao.com/tvcolumn/J2RiY2Js/section/33624</x:v>
      </x:c>
    </x:row>
    <x:row r="14">
      <x:c r="A14" s="16" t="str">
        <x:v>种地吧S1</x:v>
      </x:c>
      <x:c r="B14" s="16" t="n">
        <x:v>13</x:v>
      </x:c>
      <x:c r="C14" s="16" t="str">
        <x:v>玫瑰棚作业推进</x:v>
      </x:c>
      <x:c r="D14" s="16" t="str">
        <x:v>节目技术人员/农机师傅/来访嘉宾（视当期）</x:v>
      </x:c>
      <x:c r="E14" s="16" t="str">
        <x:v>S1主线：从农业新手到能独立完成大田、基建、种植、养殖和经营的一季生产者。</x:v>
      </x:c>
      <x:c r="F14" s="16" t="str">
        <x:v>—</x:v>
      </x:c>
      <x:c r="G14" s="16" t="str">
        <x:v>—</x:v>
      </x:c>
      <x:c r="H14" s="16" t="str"/>
      <x:c r="I14" s="16" t="str">
        <x:v>浙江杭州后陡门/外出地</x:v>
      </x:c>
      <x:c r="J14" s="16" t="str">
        <x:v>中</x:v>
      </x:c>
      <x:c r="K14" s="16" t="str">
        <x:v>https://www.tvmao.com/tvcolumn/J2RiY2Js/section/33624</x:v>
      </x:c>
    </x:row>
    <x:row r="15">
      <x:c r="A15" s="16" t="str">
        <x:v>种地吧S1</x:v>
      </x:c>
      <x:c r="B15" s="16" t="n">
        <x:v>14</x:v>
      </x:c>
      <x:c r="C15" s="16" t="str">
        <x:v>农活与嘉宾体验并行</x:v>
      </x:c>
      <x:c r="D15" s="16" t="str">
        <x:v>节目技术人员/农机师傅/来访嘉宾（视当期）</x:v>
      </x:c>
      <x:c r="E15" s="16" t="str">
        <x:v>S1主线：从农业新手到能独立完成大田、基建、种植、养殖和经营的一季生产者。</x:v>
      </x:c>
      <x:c r="F15" s="16" t="str">
        <x:v>—</x:v>
      </x:c>
      <x:c r="G15" s="16" t="str">
        <x:v>—</x:v>
      </x:c>
      <x:c r="H15" s="16" t="str"/>
      <x:c r="I15" s="16" t="str">
        <x:v>浙江杭州后陡门/外出地</x:v>
      </x:c>
      <x:c r="J15" s="16" t="str">
        <x:v>中</x:v>
      </x:c>
      <x:c r="K15" s="16" t="str">
        <x:v>https://www.tvmao.com/tvcolumn/J2RiY2Js/section/33624</x:v>
      </x:c>
    </x:row>
    <x:row r="16">
      <x:c r="A16" s="16" t="str">
        <x:v>种地吧S1</x:v>
      </x:c>
      <x:c r="B16" s="16" t="n">
        <x:v>15</x:v>
      </x:c>
      <x:c r="C16" s="16" t="str">
        <x:v>田间日常、分组作业</x:v>
      </x:c>
      <x:c r="D16" s="16" t="str">
        <x:v>节目技术人员/农机师傅/来访嘉宾（视当期）</x:v>
      </x:c>
      <x:c r="E16" s="16" t="str">
        <x:v>S1主线：从农业新手到能独立完成大田、基建、种植、养殖和经营的一季生产者。</x:v>
      </x:c>
      <x:c r="F16" s="16" t="str">
        <x:v>—</x:v>
      </x:c>
      <x:c r="G16" s="16" t="str">
        <x:v>—</x:v>
      </x:c>
      <x:c r="H16" s="16" t="str"/>
      <x:c r="I16" s="16" t="str">
        <x:v>浙江杭州后陡门/外出地</x:v>
      </x:c>
      <x:c r="J16" s="16" t="str">
        <x:v>中</x:v>
      </x:c>
      <x:c r="K16" s="16" t="str">
        <x:v>https://www.tvmao.com/tvcolumn/J2RiY2Js/section/33624</x:v>
      </x:c>
    </x:row>
    <x:row r="17">
      <x:c r="A17" s="16" t="str">
        <x:v>种地吧S1</x:v>
      </x:c>
      <x:c r="B17" s="16" t="n">
        <x:v>16</x:v>
      </x:c>
      <x:c r="C17" s="16" t="str">
        <x:v>公司/投资概念加深，嘉宾参与</x:v>
      </x:c>
      <x:c r="D17" s="16" t="str">
        <x:v>张绍刚、宋木子、大锁等</x:v>
      </x:c>
      <x:c r="E17" s="16" t="str">
        <x:v>S1主线：从农业新手到能独立完成大田、基建、种植、养殖和经营的一季生产者。</x:v>
      </x:c>
      <x:c r="F17" s="16" t="str">
        <x:v>—</x:v>
      </x:c>
      <x:c r="G17" s="16" t="str">
        <x:v>—</x:v>
      </x:c>
      <x:c r="H17" s="16" t="str"/>
      <x:c r="I17" s="16" t="str">
        <x:v>浙江杭州后陡门/外出地</x:v>
      </x:c>
      <x:c r="J17" s="16" t="str">
        <x:v>中</x:v>
      </x:c>
      <x:c r="K17" s="16" t="str">
        <x:v>https://www.tvmao.com/tvcolumn/J2RiY2Js/section/33624</x:v>
      </x:c>
    </x:row>
    <x:row r="18">
      <x:c r="A18" s="16" t="str">
        <x:v>种地吧S1</x:v>
      </x:c>
      <x:c r="B18" s="16" t="n">
        <x:v>17</x:v>
      </x:c>
      <x:c r="C18" s="16" t="str">
        <x:v>果树/枝条修剪等技术劳动</x:v>
      </x:c>
      <x:c r="D18" s="16" t="str">
        <x:v>节目技术人员/农机师傅/来访嘉宾（视当期）</x:v>
      </x:c>
      <x:c r="E18" s="16" t="str">
        <x:v>S1主线：从农业新手到能独立完成大田、基建、种植、养殖和经营的一季生产者。</x:v>
      </x:c>
      <x:c r="F18" s="16" t="str">
        <x:v>—</x:v>
      </x:c>
      <x:c r="G18" s="16" t="str">
        <x:v>—</x:v>
      </x:c>
      <x:c r="H18" s="16" t="str"/>
      <x:c r="I18" s="16" t="str">
        <x:v>浙江杭州后陡门/外出地</x:v>
      </x:c>
      <x:c r="J18" s="16" t="str">
        <x:v>中</x:v>
      </x:c>
      <x:c r="K18" s="16" t="str">
        <x:v>https://www.tvmao.com/tvcolumn/J2RiY2Js/section/33624</x:v>
      </x:c>
    </x:row>
    <x:row r="19">
      <x:c r="A19" s="16" t="str">
        <x:v>种地吧S1</x:v>
      </x:c>
      <x:c r="B19" s="16" t="n">
        <x:v>18</x:v>
      </x:c>
      <x:c r="C19" s="16" t="str">
        <x:v>抢救濒死百香果并推进养殖</x:v>
      </x:c>
      <x:c r="D19" s="16" t="str">
        <x:v>徐志胜、何广智；农业技术人员</x:v>
      </x:c>
      <x:c r="E19" s="16" t="str">
        <x:v>S1主线：从农业新手到能独立完成大田、基建、种植、养殖和经营的一季生产者。</x:v>
      </x:c>
      <x:c r="F19" s="16" t="str">
        <x:v>—</x:v>
      </x:c>
      <x:c r="G19" s="16" t="str">
        <x:v>—</x:v>
      </x:c>
      <x:c r="H19" s="16" t="str"/>
      <x:c r="I19" s="16" t="str">
        <x:v>浙江杭州后陡门/外出地</x:v>
      </x:c>
      <x:c r="J19" s="16" t="str">
        <x:v>中</x:v>
      </x:c>
      <x:c r="K19" s="16" t="str">
        <x:v>https://www.tvmao.com/tvcolumn/J2RiY2Js/section/33624</x:v>
      </x:c>
    </x:row>
    <x:row r="20">
      <x:c r="A20" s="16" t="str">
        <x:v>种地吧S1</x:v>
      </x:c>
      <x:c r="B20" s="16" t="n">
        <x:v>19</x:v>
      </x:c>
      <x:c r="C20" s="16" t="str">
        <x:v>集中搬肥、补充田间肥力</x:v>
      </x:c>
      <x:c r="D20" s="16" t="str">
        <x:v>节目技术人员/农机师傅/来访嘉宾（视当期）</x:v>
      </x:c>
      <x:c r="E20" s="16" t="str">
        <x:v>S1主线：从农业新手到能独立完成大田、基建、种植、养殖和经营的一季生产者。</x:v>
      </x:c>
      <x:c r="F20" s="16" t="str">
        <x:v>—</x:v>
      </x:c>
      <x:c r="G20" s="16" t="str">
        <x:v>—</x:v>
      </x:c>
      <x:c r="H20" s="16" t="str"/>
      <x:c r="I20" s="16" t="str">
        <x:v>浙江杭州后陡门/外出地</x:v>
      </x:c>
      <x:c r="J20" s="16" t="str">
        <x:v>中</x:v>
      </x:c>
      <x:c r="K20" s="16" t="str">
        <x:v>https://www.tvmao.com/tvcolumn/J2RiY2Js/section/33624</x:v>
      </x:c>
    </x:row>
    <x:row r="21">
      <x:c r="A21" s="16" t="str">
        <x:v>种地吧S1</x:v>
      </x:c>
      <x:c r="B21" s="16" t="n">
        <x:v>20</x:v>
      </x:c>
      <x:c r="C21" s="16" t="str">
        <x:v>养殖组作业与团队劳动</x:v>
      </x:c>
      <x:c r="D21" s="16" t="str">
        <x:v>节目技术人员/农机师傅/来访嘉宾（视当期）</x:v>
      </x:c>
      <x:c r="E21" s="16" t="str">
        <x:v>S1主线：从农业新手到能独立完成大田、基建、种植、养殖和经营的一季生产者。</x:v>
      </x:c>
      <x:c r="F21" s="16" t="str">
        <x:v>—</x:v>
      </x:c>
      <x:c r="G21" s="16" t="str">
        <x:v>—</x:v>
      </x:c>
      <x:c r="H21" s="16" t="str"/>
      <x:c r="I21" s="16" t="str">
        <x:v>浙江杭州后陡门/外出地</x:v>
      </x:c>
      <x:c r="J21" s="16" t="str">
        <x:v>中</x:v>
      </x:c>
      <x:c r="K21" s="16" t="str">
        <x:v>https://www.tvmao.com/tvcolumn/J2RiY2Js/section/33624</x:v>
      </x:c>
    </x:row>
    <x:row r="22">
      <x:c r="A22" s="16" t="str">
        <x:v>种地吧S1</x:v>
      </x:c>
      <x:c r="B22" s="16" t="n">
        <x:v>21</x:v>
      </x:c>
      <x:c r="C22" s="16" t="str">
        <x:v>雨天对生产影响，等待天晴抢农时</x:v>
      </x:c>
      <x:c r="D22" s="16" t="str">
        <x:v>节目技术人员/农机师傅/来访嘉宾（视当期）</x:v>
      </x:c>
      <x:c r="E22" s="16" t="str">
        <x:v>S1主线：从农业新手到能独立完成大田、基建、种植、养殖和经营的一季生产者。</x:v>
      </x:c>
      <x:c r="F22" s="16" t="str">
        <x:v>—</x:v>
      </x:c>
      <x:c r="G22" s="16" t="str">
        <x:v>—</x:v>
      </x:c>
      <x:c r="H22" s="16" t="str"/>
      <x:c r="I22" s="16" t="str">
        <x:v>浙江杭州后陡门/外出地</x:v>
      </x:c>
      <x:c r="J22" s="16" t="str">
        <x:v>中</x:v>
      </x:c>
      <x:c r="K22" s="16" t="str">
        <x:v>https://www.tvmao.com/tvcolumn/J2RiY2Js/section/33624</x:v>
      </x:c>
    </x:row>
    <x:row r="23">
      <x:c r="A23" s="16" t="str">
        <x:v>种地吧S1</x:v>
      </x:c>
      <x:c r="B23" s="16" t="n">
        <x:v>22</x:v>
      </x:c>
      <x:c r="C23" s="16" t="str">
        <x:v>多组农活并行，基建继续</x:v>
      </x:c>
      <x:c r="D23" s="16" t="str">
        <x:v>节目技术人员/农机师傅/来访嘉宾（视当期）</x:v>
      </x:c>
      <x:c r="E23" s="16" t="str">
        <x:v>S1主线：从农业新手到能独立完成大田、基建、种植、养殖和经营的一季生产者。</x:v>
      </x:c>
      <x:c r="F23" s="16" t="str">
        <x:v>—</x:v>
      </x:c>
      <x:c r="G23" s="16" t="str">
        <x:v>—</x:v>
      </x:c>
      <x:c r="H23" s="16" t="str"/>
      <x:c r="I23" s="16" t="str">
        <x:v>浙江杭州后陡门/外出地</x:v>
      </x:c>
      <x:c r="J23" s="16" t="str">
        <x:v>中</x:v>
      </x:c>
      <x:c r="K23" s="16" t="str">
        <x:v>https://www.tvmao.com/tvcolumn/J2RiY2Js/section/33624</x:v>
      </x:c>
    </x:row>
    <x:row r="24">
      <x:c r="A24" s="16" t="str">
        <x:v>种地吧S1</x:v>
      </x:c>
      <x:c r="B24" s="16" t="n">
        <x:v>23</x:v>
      </x:c>
      <x:c r="C24" s="16" t="str">
        <x:v>阶段性生产推进</x:v>
      </x:c>
      <x:c r="D24" s="16" t="str">
        <x:v>节目技术人员/农机师傅/来访嘉宾（视当期）</x:v>
      </x:c>
      <x:c r="E24" s="16" t="str">
        <x:v>S1主线：从农业新手到能独立完成大田、基建、种植、养殖和经营的一季生产者。</x:v>
      </x:c>
      <x:c r="F24" s="16" t="str">
        <x:v>—</x:v>
      </x:c>
      <x:c r="G24" s="16" t="str">
        <x:v>—</x:v>
      </x:c>
      <x:c r="H24" s="16" t="str"/>
      <x:c r="I24" s="16" t="str">
        <x:v>浙江杭州后陡门/外出地</x:v>
      </x:c>
      <x:c r="J24" s="16" t="str">
        <x:v>中</x:v>
      </x:c>
      <x:c r="K24" s="16" t="str">
        <x:v>https://www.tvmao.com/tvcolumn/J2RiY2Js/section/33624</x:v>
      </x:c>
    </x:row>
    <x:row r="25">
      <x:c r="A25" s="16" t="str">
        <x:v>种地吧S1</x:v>
      </x:c>
      <x:c r="B25" s="16" t="n">
        <x:v>24</x:v>
      </x:c>
      <x:c r="C25" s="16" t="str">
        <x:v>主题曲与朋友来访，继续劳动</x:v>
      </x:c>
      <x:c r="D25" s="16" t="str">
        <x:v>再就业男团等</x:v>
      </x:c>
      <x:c r="E25" s="16" t="str">
        <x:v>S1主线：从农业新手到能独立完成大田、基建、种植、养殖和经营的一季生产者。</x:v>
      </x:c>
      <x:c r="F25" s="16" t="str">
        <x:v>—</x:v>
      </x:c>
      <x:c r="G25" s="16" t="str">
        <x:v>—</x:v>
      </x:c>
      <x:c r="H25" s="16" t="str"/>
      <x:c r="I25" s="16" t="str">
        <x:v>浙江杭州后陡门/外出地</x:v>
      </x:c>
      <x:c r="J25" s="16" t="str">
        <x:v>中</x:v>
      </x:c>
      <x:c r="K25" s="16" t="str">
        <x:v>https://www.tvmao.com/tvcolumn/J2RiY2Js/section/33624</x:v>
      </x:c>
    </x:row>
    <x:row r="26">
      <x:c r="A26" s="16" t="str">
        <x:v>种地吧S1</x:v>
      </x:c>
      <x:c r="B26" s="16" t="n">
        <x:v>25</x:v>
      </x:c>
      <x:c r="C26" s="16" t="str">
        <x:v>养殖值班与日常管理</x:v>
      </x:c>
      <x:c r="D26" s="16" t="str">
        <x:v>节目技术人员/农机师傅/来访嘉宾（视当期）</x:v>
      </x:c>
      <x:c r="E26" s="16" t="str">
        <x:v>S1主线：从农业新手到能独立完成大田、基建、种植、养殖和经营的一季生产者。</x:v>
      </x:c>
      <x:c r="F26" s="16" t="str">
        <x:v>—</x:v>
      </x:c>
      <x:c r="G26" s="16" t="str">
        <x:v>—</x:v>
      </x:c>
      <x:c r="H26" s="16" t="str"/>
      <x:c r="I26" s="16" t="str">
        <x:v>浙江杭州后陡门/外出地</x:v>
      </x:c>
      <x:c r="J26" s="16" t="str">
        <x:v>中</x:v>
      </x:c>
      <x:c r="K26" s="16" t="str">
        <x:v>https://www.tvmao.com/tvcolumn/J2RiY2Js/section/33624</x:v>
      </x:c>
    </x:row>
    <x:row r="27">
      <x:c r="A27" s="16" t="str">
        <x:v>种地吧S1</x:v>
      </x:c>
      <x:c r="B27" s="16" t="n">
        <x:v>26</x:v>
      </x:c>
      <x:c r="C27" s="16" t="str">
        <x:v>虾塘水质送检、羊棚改造、菜地撒肥</x:v>
      </x:c>
      <x:c r="D27" s="16" t="str">
        <x:v>邓超、陈赫；水质检测/养殖人员</x:v>
      </x:c>
      <x:c r="E27" s="16" t="str">
        <x:v>S1主线：从农业新手到能独立完成大田、基建、种植、养殖和经营的一季生产者。</x:v>
      </x:c>
      <x:c r="F27" s="16" t="str">
        <x:v>—</x:v>
      </x:c>
      <x:c r="G27" s="16" t="str">
        <x:v>—</x:v>
      </x:c>
      <x:c r="H27" s="16" t="str"/>
      <x:c r="I27" s="16" t="str">
        <x:v>浙江杭州后陡门/外出地</x:v>
      </x:c>
      <x:c r="J27" s="16" t="str">
        <x:v>中</x:v>
      </x:c>
      <x:c r="K27" s="16" t="str">
        <x:v>https://www.tvmao.com/tvcolumn/J2RiY2Js/section/33624</x:v>
      </x:c>
    </x:row>
    <x:row r="28">
      <x:c r="A28" s="16" t="str">
        <x:v>种地吧S1</x:v>
      </x:c>
      <x:c r="B28" s="16" t="n">
        <x:v>27</x:v>
      </x:c>
      <x:c r="C28" s="16" t="str">
        <x:v>劳动与团队表达并行</x:v>
      </x:c>
      <x:c r="D28" s="16" t="str">
        <x:v>节目技术人员/农机师傅/来访嘉宾（视当期）</x:v>
      </x:c>
      <x:c r="E28" s="16" t="str">
        <x:v>S1主线：从农业新手到能独立完成大田、基建、种植、养殖和经营的一季生产者。</x:v>
      </x:c>
      <x:c r="F28" s="16" t="str">
        <x:v>—</x:v>
      </x:c>
      <x:c r="G28" s="16" t="str">
        <x:v>—</x:v>
      </x:c>
      <x:c r="H28" s="16" t="str"/>
      <x:c r="I28" s="16" t="str">
        <x:v>浙江杭州后陡门/外出地</x:v>
      </x:c>
      <x:c r="J28" s="16" t="str">
        <x:v>中</x:v>
      </x:c>
      <x:c r="K28" s="16" t="str">
        <x:v>https://www.tvmao.com/tvcolumn/J2RiY2Js/section/33624</x:v>
      </x:c>
    </x:row>
    <x:row r="29">
      <x:c r="A29" s="16" t="str">
        <x:v>种地吧S1</x:v>
      </x:c>
      <x:c r="B29" s="16" t="n">
        <x:v>28</x:v>
      </x:c>
      <x:c r="C29" s="16" t="str">
        <x:v>团队关系与工作分工深化</x:v>
      </x:c>
      <x:c r="D29" s="16" t="str">
        <x:v>节目技术人员/农机师傅/来访嘉宾（视当期）</x:v>
      </x:c>
      <x:c r="E29" s="16" t="str">
        <x:v>S1主线：从农业新手到能独立完成大田、基建、种植、养殖和经营的一季生产者。</x:v>
      </x:c>
      <x:c r="F29" s="16" t="str">
        <x:v>—</x:v>
      </x:c>
      <x:c r="G29" s="16" t="str">
        <x:v>—</x:v>
      </x:c>
      <x:c r="H29" s="16" t="str"/>
      <x:c r="I29" s="16" t="str">
        <x:v>浙江杭州后陡门/外出地</x:v>
      </x:c>
      <x:c r="J29" s="16" t="str">
        <x:v>中</x:v>
      </x:c>
      <x:c r="K29" s="16" t="str">
        <x:v>https://www.tvmao.com/tvcolumn/J2RiY2Js/section/33624</x:v>
      </x:c>
    </x:row>
    <x:row r="30">
      <x:c r="A30" s="16" t="str">
        <x:v>种地吧S1</x:v>
      </x:c>
      <x:c r="B30" s="16" t="n">
        <x:v>29</x:v>
      </x:c>
      <x:c r="C30" s="16" t="str">
        <x:v>农场日常、动物救助等</x:v>
      </x:c>
      <x:c r="D30" s="16" t="str">
        <x:v>节目技术人员/农机师傅/来访嘉宾（视当期）</x:v>
      </x:c>
      <x:c r="E30" s="16" t="str">
        <x:v>S1主线：从农业新手到能独立完成大田、基建、种植、养殖和经营的一季生产者。</x:v>
      </x:c>
      <x:c r="F30" s="16" t="str">
        <x:v>—</x:v>
      </x:c>
      <x:c r="G30" s="16" t="str">
        <x:v>—</x:v>
      </x:c>
      <x:c r="H30" s="16" t="str"/>
      <x:c r="I30" s="16" t="str">
        <x:v>浙江杭州后陡门/外出地</x:v>
      </x:c>
      <x:c r="J30" s="16" t="str">
        <x:v>中</x:v>
      </x:c>
      <x:c r="K30" s="16" t="str">
        <x:v>https://www.tvmao.com/tvcolumn/J2RiY2Js/section/33624</x:v>
      </x:c>
    </x:row>
    <x:row r="31">
      <x:c r="A31" s="16" t="str">
        <x:v>种地吧S1</x:v>
      </x:c>
      <x:c r="B31" s="16" t="n">
        <x:v>30</x:v>
      </x:c>
      <x:c r="C31" s="16" t="str">
        <x:v>到余家村交流/体验，与外部种地者互动</x:v>
      </x:c>
      <x:c r="D31" s="16" t="str">
        <x:v>伯远；余家村相关人员</x:v>
      </x:c>
      <x:c r="E31" s="16" t="str">
        <x:v>S1主线：从农业新手到能独立完成大田、基建、种植、养殖和经营的一季生产者。</x:v>
      </x:c>
      <x:c r="F31" s="16" t="str">
        <x:v>—</x:v>
      </x:c>
      <x:c r="G31" s="16" t="str">
        <x:v>—</x:v>
      </x:c>
      <x:c r="H31" s="16" t="str"/>
      <x:c r="I31" s="16" t="str">
        <x:v>浙江杭州后陡门/外出地</x:v>
      </x:c>
      <x:c r="J31" s="16" t="str">
        <x:v>中</x:v>
      </x:c>
      <x:c r="K31" s="16" t="str">
        <x:v>https://www.tvmao.com/tvcolumn/J2RiY2Js/section/33624</x:v>
      </x:c>
    </x:row>
    <x:row r="32">
      <x:c r="A32" s="16" t="str">
        <x:v>种地吧S1</x:v>
      </x:c>
      <x:c r="B32" s="16" t="n">
        <x:v>31</x:v>
      </x:c>
      <x:c r="C32" s="16" t="str">
        <x:v>公司还款倒计时，经营压力明确</x:v>
      </x:c>
      <x:c r="D32" s="16" t="str">
        <x:v>节目技术人员/农机师傅/来访嘉宾（视当期）</x:v>
      </x:c>
      <x:c r="E32" s="16" t="str">
        <x:v>S1主线：从农业新手到能独立完成大田、基建、种植、养殖和经营的一季生产者。</x:v>
      </x:c>
      <x:c r="F32" s="16" t="str">
        <x:v>—</x:v>
      </x:c>
      <x:c r="G32" s="16" t="str">
        <x:v>—</x:v>
      </x:c>
      <x:c r="H32" s="16" t="str"/>
      <x:c r="I32" s="16" t="str">
        <x:v>浙江杭州后陡门/外出地</x:v>
      </x:c>
      <x:c r="J32" s="16" t="str">
        <x:v>中</x:v>
      </x:c>
      <x:c r="K32" s="16" t="str">
        <x:v>https://www.tvmao.com/tvcolumn/J2RiY2Js/section/33624</x:v>
      </x:c>
    </x:row>
    <x:row r="33">
      <x:c r="A33" s="16" t="str">
        <x:v>种地吧S1</x:v>
      </x:c>
      <x:c r="B33" s="16" t="n">
        <x:v>32</x:v>
      </x:c>
      <x:c r="C33" s="16" t="str">
        <x:v>羊羔等养殖线进入关键节点</x:v>
      </x:c>
      <x:c r="D33" s="16" t="str">
        <x:v>节目技术人员/农机师傅/来访嘉宾（视当期）</x:v>
      </x:c>
      <x:c r="E33" s="16" t="str">
        <x:v>S1主线：从农业新手到能独立完成大田、基建、种植、养殖和经营的一季生产者。</x:v>
      </x:c>
      <x:c r="F33" s="16" t="str">
        <x:v>—</x:v>
      </x:c>
      <x:c r="G33" s="16" t="str">
        <x:v>—</x:v>
      </x:c>
      <x:c r="H33" s="16" t="str"/>
      <x:c r="I33" s="16" t="str">
        <x:v>浙江杭州后陡门/外出地</x:v>
      </x:c>
      <x:c r="J33" s="16" t="str">
        <x:v>中</x:v>
      </x:c>
      <x:c r="K33" s="16" t="str">
        <x:v>https://www.tvmao.com/tvcolumn/J2RiY2Js/section/33624</x:v>
      </x:c>
    </x:row>
    <x:row r="34">
      <x:c r="A34" s="16" t="str">
        <x:v>种地吧S1</x:v>
      </x:c>
      <x:c r="B34" s="16" t="n">
        <x:v>33</x:v>
      </x:c>
      <x:c r="C34" s="16" t="str">
        <x:v>周深、张绍刚来访，参与劳动与交流</x:v>
      </x:c>
      <x:c r="D34" s="16" t="str">
        <x:v>张绍刚、周深</x:v>
      </x:c>
      <x:c r="E34" s="16" t="str">
        <x:v>S1主线：从农业新手到能独立完成大田、基建、种植、养殖和经营的一季生产者。</x:v>
      </x:c>
      <x:c r="F34" s="16" t="str">
        <x:v>—</x:v>
      </x:c>
      <x:c r="G34" s="16" t="str">
        <x:v>—</x:v>
      </x:c>
      <x:c r="H34" s="16" t="str"/>
      <x:c r="I34" s="16" t="str">
        <x:v>浙江杭州后陡门/外出地</x:v>
      </x:c>
      <x:c r="J34" s="16" t="str">
        <x:v>中</x:v>
      </x:c>
      <x:c r="K34" s="16" t="str">
        <x:v>https://www.tvmao.com/tvcolumn/J2RiY2Js/section/33624</x:v>
      </x:c>
    </x:row>
    <x:row r="35">
      <x:c r="A35" s="16" t="str">
        <x:v>种地吧S1</x:v>
      </x:c>
      <x:c r="B35" s="16" t="n">
        <x:v>34</x:v>
      </x:c>
      <x:c r="C35" s="16" t="str">
        <x:v>羊群夜间管理，养殖风险</x:v>
      </x:c>
      <x:c r="D35" s="16" t="str">
        <x:v>节目技术人员/农机师傅/来访嘉宾（视当期）</x:v>
      </x:c>
      <x:c r="E35" s="16" t="str">
        <x:v>S1主线：从农业新手到能独立完成大田、基建、种植、养殖和经营的一季生产者。</x:v>
      </x:c>
      <x:c r="F35" s="16" t="str">
        <x:v>—</x:v>
      </x:c>
      <x:c r="G35" s="16" t="str">
        <x:v>—</x:v>
      </x:c>
      <x:c r="H35" s="16" t="str"/>
      <x:c r="I35" s="16" t="str">
        <x:v>浙江杭州后陡门/外出地</x:v>
      </x:c>
      <x:c r="J35" s="16" t="str">
        <x:v>中</x:v>
      </x:c>
      <x:c r="K35" s="16" t="str">
        <x:v>https://www.tvmao.com/tvcolumn/J2RiY2Js/section/33624</x:v>
      </x:c>
    </x:row>
    <x:row r="36">
      <x:c r="A36" s="16" t="str">
        <x:v>种地吧S1</x:v>
      </x:c>
      <x:c r="B36" s="16" t="n">
        <x:v>35</x:v>
      </x:c>
      <x:c r="C36" s="16" t="str">
        <x:v>举办农夫市集，把农产品带向消费者</x:v>
      </x:c>
      <x:c r="D36" s="16" t="str">
        <x:v>节目技术人员/农机师傅/来访嘉宾（视当期）</x:v>
      </x:c>
      <x:c r="E36" s="16" t="str">
        <x:v>S1主线：从农业新手到能独立完成大田、基建、种植、养殖和经营的一季生产者。</x:v>
      </x:c>
      <x:c r="F36" s="30" t="str">
        <x:v>通过“农夫市集”把自产农产品直接面向消费者，形成最早的产销实践；更偏自营示范，尚非严格意义的外部助农。</x:v>
      </x:c>
      <x:c r="G36" s="30" t="str">
        <x:v>产销示范</x:v>
      </x:c>
      <x:c r="H36" s="30" t="str">
        <x:v>为S2卖生菜、卖郁金香及后续直播销售奠定经验。</x:v>
      </x:c>
      <x:c r="I36" s="16" t="str">
        <x:v>浙江杭州后陡门/外出地</x:v>
      </x:c>
      <x:c r="J36" s="16" t="str">
        <x:v>中</x:v>
      </x:c>
      <x:c r="K36" s="16" t="str">
        <x:v>https://www.tvmao.com/tvcolumn/J2RiY2Js/section/33624</x:v>
      </x:c>
    </x:row>
    <x:row r="37">
      <x:c r="A37" s="16" t="str">
        <x:v>种地吧S1</x:v>
      </x:c>
      <x:c r="B37" s="16" t="n">
        <x:v>36</x:v>
      </x:c>
      <x:c r="C37" s="16" t="str">
        <x:v>高校种地小队集结，农业实践外溢</x:v>
      </x:c>
      <x:c r="D37" s="16" t="str">
        <x:v>节目技术人员/农机师傅/来访嘉宾（视当期）</x:v>
      </x:c>
      <x:c r="E37" s="16" t="str">
        <x:v>S1主线：从农业新手到能独立完成大田、基建、种植、养殖和经营的一季生产者。</x:v>
      </x:c>
      <x:c r="F37" s="30" t="str">
        <x:v>高校种地小队到少年之家参与农业实践，把节目积累的劳动经验向青年群体扩散。</x:v>
      </x:c>
      <x:c r="G37" s="30" t="str">
        <x:v>农业教育/实践</x:v>
      </x:c>
      <x:c r="H37" s="30" t="str">
        <x:v>连接S3联合高校学子插秧、S4农大教授参与大棚规划。</x:v>
      </x:c>
      <x:c r="I37" s="16" t="str">
        <x:v>浙江杭州后陡门/外出地</x:v>
      </x:c>
      <x:c r="J37" s="16" t="str">
        <x:v>中</x:v>
      </x:c>
      <x:c r="K37" s="16" t="str">
        <x:v>https://www.tvmao.com/tvcolumn/J2RiY2Js/section/33624</x:v>
      </x:c>
    </x:row>
    <x:row r="38">
      <x:c r="A38" s="16" t="str">
        <x:v>种地吧S1</x:v>
      </x:c>
      <x:c r="B38" s="16" t="n">
        <x:v>37</x:v>
      </x:c>
      <x:c r="C38" s="16" t="str">
        <x:v>吴昕、李维嘉来访并谈投资</x:v>
      </x:c>
      <x:c r="D38" s="16" t="str">
        <x:v>节目技术人员/农机师傅/来访嘉宾（视当期）</x:v>
      </x:c>
      <x:c r="E38" s="16" t="str">
        <x:v>S1主线：从农业新手到能独立完成大田、基建、种植、养殖和经营的一季生产者。</x:v>
      </x:c>
      <x:c r="F38" s="16" t="str">
        <x:v>—</x:v>
      </x:c>
      <x:c r="G38" s="16" t="str">
        <x:v>—</x:v>
      </x:c>
      <x:c r="H38" s="16" t="str"/>
      <x:c r="I38" s="16" t="str">
        <x:v>浙江杭州后陡门/外出地</x:v>
      </x:c>
      <x:c r="J38" s="16" t="str">
        <x:v>中</x:v>
      </x:c>
      <x:c r="K38" s="16" t="str">
        <x:v>https://www.tvmao.com/tvcolumn/J2RiY2Js/section/33624</x:v>
      </x:c>
    </x:row>
    <x:row r="39">
      <x:c r="A39" s="16" t="str">
        <x:v>种地吧S1</x:v>
      </x:c>
      <x:c r="B39" s="16" t="n">
        <x:v>38</x:v>
      </x:c>
      <x:c r="C39" s="16" t="str">
        <x:v>养殖与田间管理继续</x:v>
      </x:c>
      <x:c r="D39" s="16" t="str">
        <x:v>节目技术人员/农机师傅/来访嘉宾（视当期）</x:v>
      </x:c>
      <x:c r="E39" s="16" t="str">
        <x:v>S1主线：从农业新手到能独立完成大田、基建、种植、养殖和经营的一季生产者。</x:v>
      </x:c>
      <x:c r="F39" s="16" t="str">
        <x:v>—</x:v>
      </x:c>
      <x:c r="G39" s="16" t="str">
        <x:v>—</x:v>
      </x:c>
      <x:c r="H39" s="16" t="str"/>
      <x:c r="I39" s="16" t="str">
        <x:v>浙江杭州后陡门/外出地</x:v>
      </x:c>
      <x:c r="J39" s="16" t="str">
        <x:v>中</x:v>
      </x:c>
      <x:c r="K39" s="16" t="str">
        <x:v>https://www.tvmao.com/tvcolumn/J2RiY2Js/section/33624</x:v>
      </x:c>
    </x:row>
    <x:row r="40">
      <x:c r="A40" s="16" t="str">
        <x:v>种地吧S1</x:v>
      </x:c>
      <x:c r="B40" s="16" t="n">
        <x:v>39</x:v>
      </x:c>
      <x:c r="C40" s="16" t="str">
        <x:v>黄渤、王迅来访；水培生菜等项目推进</x:v>
      </x:c>
      <x:c r="D40" s="16" t="str">
        <x:v>节目技术人员/农机师傅/来访嘉宾（视当期）</x:v>
      </x:c>
      <x:c r="E40" s="16" t="str">
        <x:v>S1主线：从农业新手到能独立完成大田、基建、种植、养殖和经营的一季生产者。</x:v>
      </x:c>
      <x:c r="F40" s="16" t="str">
        <x:v>—</x:v>
      </x:c>
      <x:c r="G40" s="16" t="str">
        <x:v>—</x:v>
      </x:c>
      <x:c r="H40" s="16" t="str"/>
      <x:c r="I40" s="16" t="str">
        <x:v>浙江杭州后陡门/外出地</x:v>
      </x:c>
      <x:c r="J40" s="16" t="str">
        <x:v>中</x:v>
      </x:c>
      <x:c r="K40" s="16" t="str">
        <x:v>https://www.tvmao.com/tvcolumn/J2RiY2Js/section/33624</x:v>
      </x:c>
    </x:row>
    <x:row r="41">
      <x:c r="A41" s="16" t="str">
        <x:v>种地吧S1</x:v>
      </x:c>
      <x:c r="B41" s="16" t="n">
        <x:v>40</x:v>
      </x:c>
      <x:c r="C41" s="16" t="str">
        <x:v>农家乐试营业，农业与文旅经营结合</x:v>
      </x:c>
      <x:c r="D41" s="16" t="str">
        <x:v>节目技术人员/农机师傅/来访嘉宾（视当期）</x:v>
      </x:c>
      <x:c r="E41" s="16" t="str">
        <x:v>S1主线：从农业新手到能独立完成大田、基建、种植、养殖和经营的一季生产者。</x:v>
      </x:c>
      <x:c r="F41" s="30" t="str">
        <x:v>农家乐试营业，把农业生产与乡村体验、消费场景连接。</x:v>
      </x:c>
      <x:c r="G41" s="30" t="str">
        <x:v>农文旅</x:v>
      </x:c>
      <x:c r="H41" s="30" t="str">
        <x:v>为S3/S4更明确的农文旅与产区推介思路提供早期样本。</x:v>
      </x:c>
      <x:c r="I41" s="16" t="str">
        <x:v>浙江杭州后陡门/外出地</x:v>
      </x:c>
      <x:c r="J41" s="16" t="str">
        <x:v>中</x:v>
      </x:c>
      <x:c r="K41" s="16" t="str">
        <x:v>https://www.tvmao.com/tvcolumn/J2RiY2Js/section/33624</x:v>
      </x:c>
    </x:row>
    <x:row r="42">
      <x:c r="A42" s="16" t="str">
        <x:v>种地吧S1</x:v>
      </x:c>
      <x:c r="B42" s="16" t="n">
        <x:v>41</x:v>
      </x:c>
      <x:c r="C42" s="16" t="str">
        <x:v>后陡门之夜，阶段性文化活动</x:v>
      </x:c>
      <x:c r="D42" s="16" t="str">
        <x:v>节目技术人员/农机师傅/来访嘉宾（视当期）</x:v>
      </x:c>
      <x:c r="E42" s="16" t="str">
        <x:v>S1主线：从农业新手到能独立完成大田、基建、种植、养殖和经营的一季生产者。</x:v>
      </x:c>
      <x:c r="F42" s="16" t="str">
        <x:v>—</x:v>
      </x:c>
      <x:c r="G42" s="16" t="str">
        <x:v>—</x:v>
      </x:c>
      <x:c r="H42" s="16" t="str"/>
      <x:c r="I42" s="16" t="str">
        <x:v>浙江杭州后陡门/外出地</x:v>
      </x:c>
      <x:c r="J42" s="16" t="str">
        <x:v>中</x:v>
      </x:c>
      <x:c r="K42" s="16" t="str">
        <x:v>https://www.tvmao.com/tvcolumn/J2RiY2Js/section/33624</x:v>
      </x:c>
    </x:row>
    <x:row r="43">
      <x:c r="A43" s="16" t="str">
        <x:v>种地吧S1</x:v>
      </x:c>
      <x:c r="B43" s="16" t="n">
        <x:v>42</x:v>
      </x:c>
      <x:c r="C43" s="16" t="str">
        <x:v>写祝福、收尾准备</x:v>
      </x:c>
      <x:c r="D43" s="16" t="str">
        <x:v>节目技术人员/农机师傅/来访嘉宾（视当期）</x:v>
      </x:c>
      <x:c r="E43" s="16" t="str">
        <x:v>S1主线：从农业新手到能独立完成大田、基建、种植、养殖和经营的一季生产者。</x:v>
      </x:c>
      <x:c r="F43" s="16" t="str">
        <x:v>—</x:v>
      </x:c>
      <x:c r="G43" s="16" t="str">
        <x:v>—</x:v>
      </x:c>
      <x:c r="H43" s="16" t="str"/>
      <x:c r="I43" s="16" t="str">
        <x:v>浙江杭州后陡门/外出地</x:v>
      </x:c>
      <x:c r="J43" s="16" t="str">
        <x:v>中</x:v>
      </x:c>
      <x:c r="K43" s="16" t="str">
        <x:v>https://www.tvmao.com/tvcolumn/J2RiY2Js/section/33624</x:v>
      </x:c>
    </x:row>
    <x:row r="44">
      <x:c r="A44" s="16" t="str">
        <x:v>种地吧S1</x:v>
      </x:c>
      <x:c r="B44" s="16" t="n">
        <x:v>43</x:v>
      </x:c>
      <x:c r="C44" s="16" t="str">
        <x:v>团队劳动竞技与日常管理</x:v>
      </x:c>
      <x:c r="D44" s="16" t="str">
        <x:v>节目技术人员/农机师傅/来访嘉宾（视当期）</x:v>
      </x:c>
      <x:c r="E44" s="16" t="str">
        <x:v>S1主线：从农业新手到能独立完成大田、基建、种植、养殖和经营的一季生产者。</x:v>
      </x:c>
      <x:c r="F44" s="16" t="str">
        <x:v>—</x:v>
      </x:c>
      <x:c r="G44" s="16" t="str">
        <x:v>—</x:v>
      </x:c>
      <x:c r="H44" s="16" t="str"/>
      <x:c r="I44" s="16" t="str">
        <x:v>浙江杭州后陡门/外出地</x:v>
      </x:c>
      <x:c r="J44" s="16" t="str">
        <x:v>中</x:v>
      </x:c>
      <x:c r="K44" s="16" t="str">
        <x:v>https://www.tvmao.com/tvcolumn/J2RiY2Js/section/33624</x:v>
      </x:c>
    </x:row>
    <x:row r="45">
      <x:c r="A45" s="16" t="str">
        <x:v>种地吧S1</x:v>
      </x:c>
      <x:c r="B45" s="16" t="n">
        <x:v>44</x:v>
      </x:c>
      <x:c r="C45" s="16" t="str">
        <x:v>抓鸭等养殖收尾</x:v>
      </x:c>
      <x:c r="D45" s="16" t="str">
        <x:v>节目技术人员/农机师傅/来访嘉宾（视当期）</x:v>
      </x:c>
      <x:c r="E45" s="16" t="str">
        <x:v>S1主线：从农业新手到能独立完成大田、基建、种植、养殖和经营的一季生产者。</x:v>
      </x:c>
      <x:c r="F45" s="16" t="str">
        <x:v>—</x:v>
      </x:c>
      <x:c r="G45" s="16" t="str">
        <x:v>—</x:v>
      </x:c>
      <x:c r="H45" s="16" t="str"/>
      <x:c r="I45" s="16" t="str">
        <x:v>浙江杭州后陡门/外出地</x:v>
      </x:c>
      <x:c r="J45" s="16" t="str">
        <x:v>中</x:v>
      </x:c>
      <x:c r="K45" s="16" t="str">
        <x:v>https://www.tvmao.com/tvcolumn/J2RiY2Js/section/33624</x:v>
      </x:c>
    </x:row>
    <x:row r="46">
      <x:c r="A46" s="16" t="str">
        <x:v>种地吧S1</x:v>
      </x:c>
      <x:c r="B46" s="16" t="n">
        <x:v>45</x:v>
      </x:c>
      <x:c r="C46" s="16" t="str">
        <x:v>龙舟等团队活动，与生产收尾并行</x:v>
      </x:c>
      <x:c r="D46" s="16" t="str">
        <x:v>节目技术人员/农机师傅/来访嘉宾（视当期）</x:v>
      </x:c>
      <x:c r="E46" s="16" t="str">
        <x:v>S1主线：从农业新手到能独立完成大田、基建、种植、养殖和经营的一季生产者。</x:v>
      </x:c>
      <x:c r="F46" s="16" t="str">
        <x:v>—</x:v>
      </x:c>
      <x:c r="G46" s="16" t="str">
        <x:v>—</x:v>
      </x:c>
      <x:c r="H46" s="16" t="str"/>
      <x:c r="I46" s="16" t="str">
        <x:v>浙江杭州后陡门/外出地</x:v>
      </x:c>
      <x:c r="J46" s="16" t="str">
        <x:v>中</x:v>
      </x:c>
      <x:c r="K46" s="16" t="str">
        <x:v>https://www.tvmao.com/tvcolumn/J2RiY2Js/section/33624</x:v>
      </x:c>
    </x:row>
    <x:row r="47">
      <x:c r="A47" s="16" t="str">
        <x:v>种地吧S1</x:v>
      </x:c>
      <x:c r="B47" s="16" t="n">
        <x:v>46</x:v>
      </x:c>
      <x:c r="C47" s="16" t="str">
        <x:v>《后陡门的夏》与收官情绪升温</x:v>
      </x:c>
      <x:c r="D47" s="16" t="str">
        <x:v>节目技术人员/农机师傅/来访嘉宾（视当期）</x:v>
      </x:c>
      <x:c r="E47" s="16" t="str">
        <x:v>S1主线：从农业新手到能独立完成大田、基建、种植、养殖和经营的一季生产者。</x:v>
      </x:c>
      <x:c r="F47" s="16" t="str">
        <x:v>—</x:v>
      </x:c>
      <x:c r="G47" s="16" t="str">
        <x:v>—</x:v>
      </x:c>
      <x:c r="H47" s="16" t="str"/>
      <x:c r="I47" s="16" t="str">
        <x:v>浙江杭州后陡门/外出地</x:v>
      </x:c>
      <x:c r="J47" s="16" t="str">
        <x:v>中</x:v>
      </x:c>
      <x:c r="K47" s="16" t="str">
        <x:v>https://www.tvmao.com/tvcolumn/J2RiY2Js/section/33624</x:v>
      </x:c>
    </x:row>
    <x:row r="48">
      <x:c r="A48" s="16" t="str">
        <x:v>种地吧S1</x:v>
      </x:c>
      <x:c r="B48" s="16" t="n">
        <x:v>47</x:v>
      </x:c>
      <x:c r="C48" s="16" t="str">
        <x:v>蜂业等新体验/来访</x:v>
      </x:c>
      <x:c r="D48" s="16" t="str">
        <x:v>节目技术人员/农机师傅/来访嘉宾（视当期）</x:v>
      </x:c>
      <x:c r="E48" s="16" t="str">
        <x:v>S1主线：从农业新手到能独立完成大田、基建、种植、养殖和经营的一季生产者。</x:v>
      </x:c>
      <x:c r="F48" s="16" t="str">
        <x:v>—</x:v>
      </x:c>
      <x:c r="G48" s="16" t="str">
        <x:v>—</x:v>
      </x:c>
      <x:c r="H48" s="16" t="str"/>
      <x:c r="I48" s="16" t="str">
        <x:v>浙江杭州后陡门/外出地</x:v>
      </x:c>
      <x:c r="J48" s="16" t="str">
        <x:v>中</x:v>
      </x:c>
      <x:c r="K48" s="16" t="str">
        <x:v>https://www.tvmao.com/tvcolumn/J2RiY2Js/section/33624</x:v>
      </x:c>
    </x:row>
    <x:row r="49">
      <x:c r="A49" s="16" t="str">
        <x:v>种地吧S1</x:v>
      </x:c>
      <x:c r="B49" s="16" t="n">
        <x:v>48</x:v>
      </x:c>
      <x:c r="C49" s="16" t="str">
        <x:v>首届麦田音乐会开场</x:v>
      </x:c>
      <x:c r="D49" s="16" t="str">
        <x:v>节目技术人员/农机师傅/来访嘉宾（视当期）</x:v>
      </x:c>
      <x:c r="E49" s="16" t="str">
        <x:v>S1主线：从农业新手到能独立完成大田、基建、种植、养殖和经营的一季生产者。</x:v>
      </x:c>
      <x:c r="F49" s="16" t="str">
        <x:v>—</x:v>
      </x:c>
      <x:c r="G49" s="16" t="str">
        <x:v>—</x:v>
      </x:c>
      <x:c r="H49" s="16" t="str"/>
      <x:c r="I49" s="16" t="str">
        <x:v>浙江杭州后陡门/外出地</x:v>
      </x:c>
      <x:c r="J49" s="16" t="str">
        <x:v>中</x:v>
      </x:c>
      <x:c r="K49" s="16" t="str">
        <x:v>https://www.tvmao.com/tvcolumn/J2RiY2Js/section/33624</x:v>
      </x:c>
    </x:row>
    <x:row r="50">
      <x:c r="A50" s="16" t="str">
        <x:v>种地吧S1</x:v>
      </x:c>
      <x:c r="B50" s="16" t="n">
        <x:v>49</x:v>
      </x:c>
      <x:c r="C50" s="16" t="str">
        <x:v>感恩音乐会继续</x:v>
      </x:c>
      <x:c r="D50" s="16" t="str">
        <x:v>节目技术人员/农机师傅/来访嘉宾（视当期）</x:v>
      </x:c>
      <x:c r="E50" s="16" t="str">
        <x:v>S1主线：从农业新手到能独立完成大田、基建、种植、养殖和经营的一季生产者。</x:v>
      </x:c>
      <x:c r="F50" s="16" t="str">
        <x:v>—</x:v>
      </x:c>
      <x:c r="G50" s="16" t="str">
        <x:v>—</x:v>
      </x:c>
      <x:c r="H50" s="16" t="str"/>
      <x:c r="I50" s="16" t="str">
        <x:v>浙江杭州后陡门/外出地</x:v>
      </x:c>
      <x:c r="J50" s="16" t="str">
        <x:v>中</x:v>
      </x:c>
      <x:c r="K50" s="16" t="str">
        <x:v>https://www.tvmao.com/tvcolumn/J2RiY2Js/section/33624</x:v>
      </x:c>
    </x:row>
    <x:row r="51">
      <x:c r="A51" s="16" t="str">
        <x:v>种地吧S1</x:v>
      </x:c>
      <x:c r="B51" s="16" t="n">
        <x:v>50</x:v>
      </x:c>
      <x:c r="C51" s="16" t="str">
        <x:v>最终收割，完成从种到收的一季闭环</x:v>
      </x:c>
      <x:c r="D51" s="16" t="str">
        <x:v>节目技术人员/农机师傅/来访嘉宾（视当期）</x:v>
      </x:c>
      <x:c r="E51" s="16" t="str">
        <x:v>S1主线：从农业新手到能独立完成大田、基建、种植、养殖和经营的一季生产者。</x:v>
      </x:c>
      <x:c r="F51" s="16" t="str">
        <x:v>—</x:v>
      </x:c>
      <x:c r="G51" s="16" t="str">
        <x:v>—</x:v>
      </x:c>
      <x:c r="H51" s="16" t="str"/>
      <x:c r="I51" s="16" t="str">
        <x:v>浙江杭州后陡门/外出地</x:v>
      </x:c>
      <x:c r="J51" s="16" t="str">
        <x:v>中</x:v>
      </x:c>
      <x:c r="K51" s="16" t="str">
        <x:v>https://www.tvmao.com/tvcolumn/J2RiY2Js/section/33624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45" hidden="0" customWidth="1"/>
    <x:col min="4" max="4" width="28" hidden="0" customWidth="1"/>
    <x:col min="5" max="5" width="28" hidden="0" customWidth="1"/>
    <x:col min="6" max="6" width="42" hidden="0" customWidth="1"/>
    <x:col min="7" max="7" width="16" hidden="0" customWidth="1"/>
    <x:col min="8" max="8" width="42" hidden="0" customWidth="1"/>
    <x:col min="9" max="9" width="20" hidden="0" customWidth="1"/>
    <x:col min="10" max="10" width="10" hidden="0" customWidth="1"/>
    <x:col min="11" max="11" width="45" hidden="0" customWidth="1"/>
  </x:cols>
  <x:sheetData>
    <x:row r="1">
      <x:c r="A1" s="25" t="str">
        <x:v>节目/季</x:v>
      </x:c>
      <x:c r="B1" s="25" t="str">
        <x:v>期数</x:v>
      </x:c>
      <x:c r="C1" s="25" t="str">
        <x:v>主要事件</x:v>
      </x:c>
      <x:c r="D1" s="25" t="str">
        <x:v>十个勤天外重要人物</x:v>
      </x:c>
      <x:c r="E1" s="25" t="str">
        <x:v>故事线</x:v>
      </x:c>
      <x:c r="F1" s="25" t="str">
        <x:v>助农/惠农事件</x:v>
      </x:c>
      <x:c r="G1" s="25" t="str">
        <x:v>助农类型</x:v>
      </x:c>
      <x:c r="H1" s="25" t="str">
        <x:v>跨期/跨季串联</x:v>
      </x:c>
      <x:c r="I1" s="25" t="str">
        <x:v>地点</x:v>
      </x:c>
      <x:c r="J1" s="25" t="str">
        <x:v>置信度</x:v>
      </x:c>
      <x:c r="K1" s="25" t="str">
        <x:v>来源</x:v>
      </x:c>
    </x:row>
    <x:row r="2">
      <x:c r="A2" s="16" t="str">
        <x:v>你好种地少年S1</x:v>
      </x:c>
      <x:c r="B2" s="16" t="n">
        <x:v>1</x:v>
      </x:c>
      <x:c r="C2" s="16" t="str">
        <x:v>从赵小童家乡/山东线开启农业游学，体验当地生活与农业。</x:v>
      </x:c>
      <x:c r="D2" s="16" t="str">
        <x:v>当地农户、赵小童家人</x:v>
      </x:c>
      <x:c r="E2" s="16" t="str">
        <x:v>农业游学开篇：把后陡门经验带到真实产区。</x:v>
      </x:c>
      <x:c r="F2" s="30" t="str">
        <x:v>以拜访农户、参与秋收/渔业劳动为主，重点是理解产业，而非单次销售。</x:v>
      </x:c>
      <x:c r="G2" s="30" t="str">
        <x:v>游学/认知</x:v>
      </x:c>
      <x:c r="H2" s="30" t="str">
        <x:v>为S2、S3走向全国各产区建立叙事模板。</x:v>
      </x:c>
      <x:c r="I2" s="16" t="str">
        <x:v>山东等</x:v>
      </x:c>
      <x:c r="J2" s="16" t="str">
        <x:v>中</x:v>
      </x:c>
      <x:c r="K2" s="16" t="str">
        <x:v>https://www.tvmao.com/tvcolumn/ZWRkayVd/season/2920</x:v>
      </x:c>
    </x:row>
    <x:row r="3">
      <x:c r="A3" s="16" t="str">
        <x:v>你好种地少年S1</x:v>
      </x:c>
      <x:c r="B3" s="16" t="n">
        <x:v>2</x:v>
      </x:c>
      <x:c r="C3" s="16" t="str">
        <x:v>学习生蚝养殖并出海打捞。</x:v>
      </x:c>
      <x:c r="D3" s="16" t="str">
        <x:v>海产养殖户/船工</x:v>
      </x:c>
      <x:c r="E3" s="16" t="str">
        <x:v>海洋养殖线。</x:v>
      </x:c>
      <x:c r="F3" s="30" t="str">
        <x:v>展示生蚝养殖链条和养殖户劳动。</x:v>
      </x:c>
      <x:c r="G3" s="30" t="str">
        <x:v>产业传播</x:v>
      </x:c>
      <x:c r="H3" s="30" t="str">
        <x:v>从大田农业扩展到渔业/海产。</x:v>
      </x:c>
      <x:c r="I3" s="16" t="str">
        <x:v>沿海地区</x:v>
      </x:c>
      <x:c r="J3" s="16" t="str">
        <x:v>中</x:v>
      </x:c>
      <x:c r="K3" s="16" t="str">
        <x:v>https://www.tvmao.com/tvcolumn/ZWRkayVd/season/2920</x:v>
      </x:c>
    </x:row>
    <x:row r="4">
      <x:c r="A4" s="16" t="str">
        <x:v>你好种地少年S1</x:v>
      </x:c>
      <x:c r="B4" s="16" t="n">
        <x:v>3</x:v>
      </x:c>
      <x:c r="C4" s="16" t="str">
        <x:v>凌晨出海捕鱼，体验渔民作业。</x:v>
      </x:c>
      <x:c r="D4" s="16" t="str">
        <x:v>渔民、船工</x:v>
      </x:c>
      <x:c r="E4" s="16" t="str">
        <x:v>渔业劳动深化。</x:v>
      </x:c>
      <x:c r="F4" s="30" t="str">
        <x:v>用真实作业呈现捕捞劳动和风险。</x:v>
      </x:c>
      <x:c r="G4" s="30" t="str">
        <x:v>产业传播</x:v>
      </x:c>
      <x:c r="H4" s="30" t="str">
        <x:v>强化“先理解劳动，再谈助农”的基础。</x:v>
      </x:c>
      <x:c r="I4" s="16" t="str">
        <x:v>沿海地区</x:v>
      </x:c>
      <x:c r="J4" s="16" t="str">
        <x:v>中</x:v>
      </x:c>
      <x:c r="K4" s="16" t="str">
        <x:v>https://www.tvmao.com/tvcolumn/ZWRkayVd/season/2920</x:v>
      </x:c>
    </x:row>
    <x:row r="5">
      <x:c r="A5" s="16" t="str">
        <x:v>你好种地少年S1</x:v>
      </x:c>
      <x:c r="B5" s="16" t="n">
        <x:v>4</x:v>
      </x:c>
      <x:c r="C5" s="16" t="str">
        <x:v>成员家乡游学、村落生活与农业体验继续。</x:v>
      </x:c>
      <x:c r="D5" s="16" t="str">
        <x:v>成员家人、当地农户</x:v>
      </x:c>
      <x:c r="E5" s="16" t="str">
        <x:v>家乡农业与乡村生活。</x:v>
      </x:c>
      <x:c r="F5" s="30" t="str">
        <x:v>对地方农产品和农事方式进行传播。</x:v>
      </x:c>
      <x:c r="G5" s="30" t="str">
        <x:v>产业传播</x:v>
      </x:c>
      <x:c r="H5" s="30" t="str">
        <x:v>为后续“家乡—产区—农人”的叙事连接。</x:v>
      </x:c>
      <x:c r="I5" s="16" t="str">
        <x:v>多地</x:v>
      </x:c>
      <x:c r="J5" s="16" t="str">
        <x:v>中</x:v>
      </x:c>
      <x:c r="K5" s="16" t="str">
        <x:v>https://www.tvmao.com/tvcolumn/ZWRkayVd/season/2920</x:v>
      </x:c>
    </x:row>
    <x:row r="6">
      <x:c r="A6" s="16" t="str">
        <x:v>你好种地少年S1</x:v>
      </x:c>
      <x:c r="B6" s="16" t="n">
        <x:v>5</x:v>
      </x:c>
      <x:c r="C6" s="16" t="str">
        <x:v>内蒙古丰收节/农事体验，拜访王一珩家。</x:v>
      </x:c>
      <x:c r="D6" s="16" t="str">
        <x:v>王一珩家人、当地农牧民</x:v>
      </x:c>
      <x:c r="E6" s="16" t="str">
        <x:v>北方农牧业与家庭线。</x:v>
      </x:c>
      <x:c r="F6" s="30" t="str">
        <x:v>参与丰收场景、展示当地农业与饮食。</x:v>
      </x:c>
      <x:c r="G6" s="30" t="str">
        <x:v>产业传播</x:v>
      </x:c>
      <x:c r="H6" s="30" t="str">
        <x:v>S1大田经验与草原/旱作农业对照。</x:v>
      </x:c>
      <x:c r="I6" s="16" t="str">
        <x:v>内蒙古</x:v>
      </x:c>
      <x:c r="J6" s="16" t="str">
        <x:v>中</x:v>
      </x:c>
      <x:c r="K6" s="16" t="str">
        <x:v>https://www.tvmao.com/tvcolumn/ZWRkayVd/season/2920</x:v>
      </x:c>
    </x:row>
    <x:row r="7">
      <x:c r="A7" s="16" t="str">
        <x:v>你好种地少年S1</x:v>
      </x:c>
      <x:c r="B7" s="16" t="n">
        <x:v>6</x:v>
      </x:c>
      <x:c r="C7" s="16" t="str">
        <x:v>收割谷穗，体验秋收并由王一珩家招待。</x:v>
      </x:c>
      <x:c r="D7" s="16" t="str">
        <x:v>当地农户、王一珩家人</x:v>
      </x:c>
      <x:c r="E7" s="16" t="str">
        <x:v>秋收实践。</x:v>
      </x:c>
      <x:c r="F7" s="30" t="str">
        <x:v>亲自收割，突出农人劳动价值。</x:v>
      </x:c>
      <x:c r="G7" s="30" t="str">
        <x:v>劳动助农</x:v>
      </x:c>
      <x:c r="H7" s="30" t="str">
        <x:v>把“种”之后的“收”放到不同地区比较。</x:v>
      </x:c>
      <x:c r="I7" s="16" t="str">
        <x:v>内蒙古</x:v>
      </x:c>
      <x:c r="J7" s="16" t="str">
        <x:v>中</x:v>
      </x:c>
      <x:c r="K7" s="16" t="str">
        <x:v>https://www.tvmao.com/tvcolumn/ZWRkayVd/season/2920</x:v>
      </x:c>
    </x:row>
    <x:row r="8">
      <x:c r="A8" s="16" t="str">
        <x:v>你好种地少年S1</x:v>
      </x:c>
      <x:c r="B8" s="16" t="n">
        <x:v>7</x:v>
      </x:c>
      <x:c r="C8" s="16" t="str">
        <x:v>到赵一博家乡线并进行农业/乡村体验，陆虎到访。</x:v>
      </x:c>
      <x:c r="D8" s="16" t="str">
        <x:v>赵一博家人、陆虎、当地农户</x:v>
      </x:c>
      <x:c r="E8" s="16" t="str">
        <x:v>家乡游学+朋友线。</x:v>
      </x:c>
      <x:c r="F8" s="30" t="str">
        <x:v>地方农产与乡村生活传播。</x:v>
      </x:c>
      <x:c r="G8" s="30" t="str">
        <x:v>产业传播</x:v>
      </x:c>
      <x:c r="H8" s="30" t="str">
        <x:v>强化成员个人家乡与农业的联系。</x:v>
      </x:c>
      <x:c r="I8" s="16" t="str">
        <x:v>山西等</x:v>
      </x:c>
      <x:c r="J8" s="16" t="str">
        <x:v>中</x:v>
      </x:c>
      <x:c r="K8" s="16" t="str">
        <x:v>https://www.tvmao.com/tvcolumn/ZWRkayVd/season/2920</x:v>
      </x:c>
    </x:row>
    <x:row r="9">
      <x:c r="A9" s="16" t="str">
        <x:v>你好种地少年S1</x:v>
      </x:c>
      <x:c r="B9" s="16" t="n">
        <x:v>8</x:v>
      </x:c>
      <x:c r="C9" s="16" t="str">
        <x:v>游览乡村景观并参加新农人婚礼。</x:v>
      </x:c>
      <x:c r="D9" s="16" t="str">
        <x:v>新农人夫妇、当地村民</x:v>
      </x:c>
      <x:c r="E9" s="16" t="str">
        <x:v>新农人生活方式。</x:v>
      </x:c>
      <x:c r="F9" s="30" t="str">
        <x:v>通过婚礼与乡村场景展示返乡/新农人群体。</x:v>
      </x:c>
      <x:c r="G9" s="30" t="str">
        <x:v>新农人传播</x:v>
      </x:c>
      <x:c r="H9" s="30" t="str">
        <x:v>为S3明确“新农人平台”埋下概念。</x:v>
      </x:c>
      <x:c r="I9" s="16" t="str">
        <x:v>山西锡崖沟等</x:v>
      </x:c>
      <x:c r="J9" s="16" t="str">
        <x:v>中</x:v>
      </x:c>
      <x:c r="K9" s="16" t="str">
        <x:v>https://www.tvmao.com/tvcolumn/ZWRkayVd/season/2920</x:v>
      </x:c>
    </x:row>
    <x:row r="10">
      <x:c r="A10" s="16" t="str">
        <x:v>你好种地少年S1</x:v>
      </x:c>
      <x:c r="B10" s="16" t="n">
        <x:v>9</x:v>
      </x:c>
      <x:c r="C10" s="16" t="str">
        <x:v>到卓沅家乡/家庭线，家宴与地方生活体验。</x:v>
      </x:c>
      <x:c r="D10" s="16" t="str">
        <x:v>卓沅家人、当地农户</x:v>
      </x:c>
      <x:c r="E10" s="16" t="str">
        <x:v>家庭与地方农业文化。</x:v>
      </x:c>
      <x:c r="F10" s="30" t="str">
        <x:v>推广地方乡村生活与饮食。</x:v>
      </x:c>
      <x:c r="G10" s="30" t="str">
        <x:v>产业传播</x:v>
      </x:c>
      <x:c r="H10" s="30" t="str">
        <x:v>游学收束前的家乡线。</x:v>
      </x:c>
      <x:c r="I10" s="16" t="str">
        <x:v>湖南等</x:v>
      </x:c>
      <x:c r="J10" s="16" t="str">
        <x:v>中</x:v>
      </x:c>
      <x:c r="K10" s="16" t="str">
        <x:v>https://www.tvmao.com/tvcolumn/ZWRkayVd/season/2920</x:v>
      </x:c>
    </x:row>
    <x:row r="11">
      <x:c r="A11" s="16" t="str">
        <x:v>你好种地少年S1</x:v>
      </x:c>
      <x:c r="B11" s="16" t="n">
        <x:v>10</x:v>
      </x:c>
      <x:c r="C11" s="16" t="str">
        <x:v>中国农大/长城等收官，回看一路农业知识与劳动。</x:v>
      </x:c>
      <x:c r="D11" s="16" t="str">
        <x:v>中国农业大学师生等</x:v>
      </x:c>
      <x:c r="E11" s="16" t="str">
        <x:v>农业教育收束。</x:v>
      </x:c>
      <x:c r="F11" s="30" t="str">
        <x:v>把游学经验上升到农业知识与青年责任。</x:v>
      </x:c>
      <x:c r="G11" s="30" t="str">
        <x:v>农业教育</x:v>
      </x:c>
      <x:c r="H11" s="30" t="str">
        <x:v>连接S2的专业游学、S3高校合作。</x:v>
      </x:c>
      <x:c r="I11" s="16" t="str">
        <x:v>北京</x:v>
      </x:c>
      <x:c r="J11" s="16" t="str">
        <x:v>中</x:v>
      </x:c>
      <x:c r="K11" s="16" t="str">
        <x:v>https://www.tvmao.com/tvcolumn/ZWRkayVd/season/2920</x:v>
      </x:c>
    </x:row>
    <x:row r="12">
      <x:c r="A12" s="16" t="str">
        <x:v>你好种地少年S2</x:v>
      </x:c>
      <x:c r="B12" s="16" t="n">
        <x:v>1</x:v>
      </x:c>
      <x:c r="C12" s="16" t="str">
        <x:v>新疆首站摘红花，复刻长城喊话，进入第二次全国游学。</x:v>
      </x:c>
      <x:c r="D12" s="16" t="str">
        <x:v>新疆红花种植户、当地农人</x:v>
      </x:c>
      <x:c r="E12" s="16" t="str">
        <x:v>新疆特色作物线开篇。</x:v>
      </x:c>
      <x:c r="F12" s="30" t="str">
        <x:v>直接帮助农户采收红花，并为特色农产品增加曝光。</x:v>
      </x:c>
      <x:c r="G12" s="30" t="str">
        <x:v>劳动助农/传播</x:v>
      </x:c>
      <x:c r="H12" s="30" t="str">
        <x:v>从S1“看农业”升级为更主动参与产地劳动。</x:v>
      </x:c>
      <x:c r="I12" s="16" t="str">
        <x:v>新疆</x:v>
      </x:c>
      <x:c r="J12" s="16" t="str">
        <x:v>中</x:v>
      </x:c>
      <x:c r="K12" s="16" t="str">
        <x:v>https://pages.iqiyi.com/m/zy/zdsn2.html</x:v>
      </x:c>
    </x:row>
    <x:row r="13">
      <x:c r="A13" s="16" t="str">
        <x:v>你好种地少年S2</x:v>
      </x:c>
      <x:c r="B13" s="16" t="n">
        <x:v>2</x:v>
      </x:c>
      <x:c r="C13" s="16" t="str">
        <x:v>学习新疆特色果品/蟠桃等，并进行首次更正式的国际/商业谈判体验。</x:v>
      </x:c>
      <x:c r="D13" s="16" t="str">
        <x:v>当地果农、企业/交易合作方</x:v>
      </x:c>
      <x:c r="E13" s="16" t="str">
        <x:v>农产品商业化与谈判。</x:v>
      </x:c>
      <x:c r="F13" s="30" t="str">
        <x:v>把农产品价值、渠道和交易条件纳入游学。</x:v>
      </x:c>
      <x:c r="G13" s="30" t="str">
        <x:v>渠道/商业学习</x:v>
      </x:c>
      <x:c r="H13" s="30" t="str">
        <x:v>直接预演S3、S4的产地采购与合作谈判。</x:v>
      </x:c>
      <x:c r="I13" s="16" t="str">
        <x:v>新疆</x:v>
      </x:c>
      <x:c r="J13" s="16" t="str">
        <x:v>中</x:v>
      </x:c>
      <x:c r="K13" s="16" t="str">
        <x:v>https://pages.iqiyi.com/m/zy/zdsn2.html</x:v>
      </x:c>
    </x:row>
    <x:row r="14">
      <x:c r="A14" s="16" t="str">
        <x:v>你好种地少年S2</x:v>
      </x:c>
      <x:c r="B14" s="16" t="n">
        <x:v>3</x:v>
      </x:c>
      <x:c r="C14" s="16" t="str">
        <x:v>赛里木湖及周边农业/牧业体验，继续理解新疆农业生态。</x:v>
      </x:c>
      <x:c r="D14" s="16" t="str">
        <x:v>当地农牧民</x:v>
      </x:c>
      <x:c r="E14" s="16" t="str">
        <x:v>生态与农牧业。</x:v>
      </x:c>
      <x:c r="F14" s="30" t="str">
        <x:v>传播当地农业与文旅资源。</x:v>
      </x:c>
      <x:c r="G14" s="30" t="str">
        <x:v>产业传播</x:v>
      </x:c>
      <x:c r="H14" s="30" t="str">
        <x:v>农文旅视角强化。</x:v>
      </x:c>
      <x:c r="I14" s="16" t="str">
        <x:v>新疆</x:v>
      </x:c>
      <x:c r="J14" s="16" t="str">
        <x:v>中</x:v>
      </x:c>
      <x:c r="K14" s="16" t="str">
        <x:v>https://pages.iqiyi.com/m/zy/zdsn2.html</x:v>
      </x:c>
    </x:row>
    <x:row r="15">
      <x:c r="A15" s="16" t="str">
        <x:v>你好种地少年S2</x:v>
      </x:c>
      <x:c r="B15" s="16" t="n">
        <x:v>4</x:v>
      </x:c>
      <x:c r="C15" s="16" t="str">
        <x:v>火焰山等区域体验，结合葡萄/瓜果等特色农业认知。</x:v>
      </x:c>
      <x:c r="D15" s="16" t="str">
        <x:v>当地种植户</x:v>
      </x:c>
      <x:c r="E15" s="16" t="str">
        <x:v>极端气候与特色农业。</x:v>
      </x:c>
      <x:c r="F15" s="30" t="str">
        <x:v>展示高温、干旱条件下的特色农业生产。</x:v>
      </x:c>
      <x:c r="G15" s="30" t="str">
        <x:v>产业传播</x:v>
      </x:c>
      <x:c r="H15" s="30" t="str">
        <x:v>与S2民勤治沙、S4沙漠农业形成气候线。</x:v>
      </x:c>
      <x:c r="I15" s="16" t="str">
        <x:v>新疆</x:v>
      </x:c>
      <x:c r="J15" s="16" t="str">
        <x:v>中</x:v>
      </x:c>
      <x:c r="K15" s="16" t="str">
        <x:v>https://pages.iqiyi.com/m/zy/zdsn2.html</x:v>
      </x:c>
    </x:row>
    <x:row r="16">
      <x:c r="A16" s="16" t="str">
        <x:v>你好种地少年S2</x:v>
      </x:c>
      <x:c r="B16" s="16" t="n">
        <x:v>5</x:v>
      </x:c>
      <x:c r="C16" s="16" t="str">
        <x:v>沙漠行程、逐日观星与当地生产生活体验。</x:v>
      </x:c>
      <x:c r="D16" s="16" t="str">
        <x:v>当地农牧民/文旅从业者</x:v>
      </x:c>
      <x:c r="E16" s="16" t="str">
        <x:v>荒漠与农业生态。</x:v>
      </x:c>
      <x:c r="F16" s="30" t="str">
        <x:v>传播荒漠地区生产方式。</x:v>
      </x:c>
      <x:c r="G16" s="30" t="str">
        <x:v>产业传播</x:v>
      </x:c>
      <x:c r="H16" s="30" t="str">
        <x:v>继续连接治沙与旱作农业。</x:v>
      </x:c>
      <x:c r="I16" s="16" t="str">
        <x:v>宁夏/甘肃等</x:v>
      </x:c>
      <x:c r="J16" s="16" t="str">
        <x:v>中</x:v>
      </x:c>
      <x:c r="K16" s="16" t="str">
        <x:v>https://pages.iqiyi.com/m/zy/zdsn2.html</x:v>
      </x:c>
    </x:row>
    <x:row r="17">
      <x:c r="A17" s="16" t="str">
        <x:v>你好种地少年S2</x:v>
      </x:c>
      <x:c r="B17" s="16" t="n">
        <x:v>6</x:v>
      </x:c>
      <x:c r="C17" s="16" t="str">
        <x:v>回陈少熙家乡并体验当地农业、家庭生活。</x:v>
      </x:c>
      <x:c r="D17" s="16" t="str">
        <x:v>陈少熙家人、当地农户</x:v>
      </x:c>
      <x:c r="E17" s="16" t="str">
        <x:v>家乡农业线。</x:v>
      </x:c>
      <x:c r="F17" s="30" t="str">
        <x:v>地方农产和农人故事传播。</x:v>
      </x:c>
      <x:c r="G17" s="30" t="str">
        <x:v>产业传播</x:v>
      </x:c>
      <x:c r="H17" s="30" t="str">
        <x:v>家乡游学传统延续。</x:v>
      </x:c>
      <x:c r="I17" s="16" t="str">
        <x:v>甘肃/宁夏等</x:v>
      </x:c>
      <x:c r="J17" s="16" t="str">
        <x:v>中</x:v>
      </x:c>
      <x:c r="K17" s="16" t="str">
        <x:v>https://pages.iqiyi.com/m/zy/zdsn2.html</x:v>
      </x:c>
    </x:row>
    <x:row r="18">
      <x:c r="A18" s="16" t="str">
        <x:v>你好种地少年S2</x:v>
      </x:c>
      <x:c r="B18" s="16" t="n">
        <x:v>7</x:v>
      </x:c>
      <x:c r="C18" s="16" t="str">
        <x:v>重庆站，由李耕耘带队体验山地农业和地方生活。</x:v>
      </x:c>
      <x:c r="D18" s="16" t="str">
        <x:v>李耕耘家人、当地农户</x:v>
      </x:c>
      <x:c r="E18" s="16" t="str">
        <x:v>山地农业/重庆乡村。</x:v>
      </x:c>
      <x:c r="F18" s="30" t="str">
        <x:v>展示山地农业与特色农产品。</x:v>
      </x:c>
      <x:c r="G18" s="30" t="str">
        <x:v>产业传播</x:v>
      </x:c>
      <x:c r="H18" s="30" t="str">
        <x:v>拓展不同地形的农业认知。</x:v>
      </x:c>
      <x:c r="I18" s="16" t="str">
        <x:v>重庆</x:v>
      </x:c>
      <x:c r="J18" s="16" t="str">
        <x:v>中</x:v>
      </x:c>
      <x:c r="K18" s="16" t="str">
        <x:v>https://pages.iqiyi.com/m/zy/zdsn2.html</x:v>
      </x:c>
    </x:row>
    <x:row r="19">
      <x:c r="A19" s="16" t="str">
        <x:v>你好种地少年S2</x:v>
      </x:c>
      <x:c r="B19" s="16" t="n">
        <x:v>8</x:v>
      </x:c>
      <x:c r="C19" s="16" t="str">
        <x:v>摔跤等活动外，继续走访地方农业与农人。</x:v>
      </x:c>
      <x:c r="D19" s="16" t="str">
        <x:v>当地农户/新农人</x:v>
      </x:c>
      <x:c r="E19" s="16" t="str">
        <x:v>游学中段综合体验。</x:v>
      </x:c>
      <x:c r="F19" s="30" t="str">
        <x:v>通过节目曝光地方农业。</x:v>
      </x:c>
      <x:c r="G19" s="30" t="str">
        <x:v>产业传播</x:v>
      </x:c>
      <x:c r="H19" s="30" t="str">
        <x:v>与S3新农人平台思路衔接。</x:v>
      </x:c>
      <x:c r="I19" s="16" t="str">
        <x:v>西部地区</x:v>
      </x:c>
      <x:c r="J19" s="16" t="str">
        <x:v>中低</x:v>
      </x:c>
      <x:c r="K19" s="16" t="str">
        <x:v>https://pages.iqiyi.com/m/zy/zdsn2.html</x:v>
      </x:c>
    </x:row>
    <x:row r="20">
      <x:c r="A20" s="16" t="str">
        <x:v>你好种地少年S2</x:v>
      </x:c>
      <x:c r="B20" s="16" t="n">
        <x:v>9</x:v>
      </x:c>
      <x:c r="C20" s="16" t="str">
        <x:v>广东佛山/岭南站，学习永春拳并体验岭南农业与饮食。</x:v>
      </x:c>
      <x:c r="D20" s="16" t="str">
        <x:v>当地农户、传统文化传承者</x:v>
      </x:c>
      <x:c r="E20" s="16" t="str">
        <x:v>岭南农文旅。</x:v>
      </x:c>
      <x:c r="F20" s="30" t="str">
        <x:v>把农业、地方饮食和文旅结合传播。</x:v>
      </x:c>
      <x:c r="G20" s="30" t="str">
        <x:v>农文旅传播</x:v>
      </x:c>
      <x:c r="H20" s="30" t="str">
        <x:v>为S4产区综合推介提供模板。</x:v>
      </x:c>
      <x:c r="I20" s="16" t="str">
        <x:v>广东</x:v>
      </x:c>
      <x:c r="J20" s="16" t="str">
        <x:v>中</x:v>
      </x:c>
      <x:c r="K20" s="16" t="str">
        <x:v>https://pages.iqiyi.com/m/zy/zdsn2.html</x:v>
      </x:c>
    </x:row>
    <x:row r="21">
      <x:c r="A21" s="16" t="str">
        <x:v>你好种地少年S2</x:v>
      </x:c>
      <x:c r="B21" s="16" t="n">
        <x:v>10</x:v>
      </x:c>
      <x:c r="C21" s="16" t="str">
        <x:v>收官：游学、游戏与短剧等内容收束，回顾全国农业见闻。</x:v>
      </x:c>
      <x:c r="D21" s="16" t="str">
        <x:v>沿途新农人/合作方</x:v>
      </x:c>
      <x:c r="E21" s="16" t="str">
        <x:v>第二次农业游学收束。</x:v>
      </x:c>
      <x:c r="F21" s="30" t="str">
        <x:v>强化全国特色农业、新农人和地方资源的曝光。</x:v>
      </x:c>
      <x:c r="G21" s="30" t="str">
        <x:v>综合传播</x:v>
      </x:c>
      <x:c r="H21" s="30" t="str">
        <x:v>完成从S2到S3“全国助农平台”叙事的过桥。</x:v>
      </x:c>
      <x:c r="I21" s="16" t="str">
        <x:v>多地</x:v>
      </x:c>
      <x:c r="J21" s="16" t="str">
        <x:v>中</x:v>
      </x:c>
      <x:c r="K21" s="16" t="str">
        <x:v>https://pages.iqiyi.com/m/zy/zdsn2.html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45" hidden="0" customWidth="1"/>
    <x:col min="4" max="4" width="28" hidden="0" customWidth="1"/>
    <x:col min="5" max="5" width="28" hidden="0" customWidth="1"/>
    <x:col min="6" max="6" width="42" hidden="0" customWidth="1"/>
    <x:col min="7" max="7" width="16" hidden="0" customWidth="1"/>
    <x:col min="8" max="8" width="42" hidden="0" customWidth="1"/>
    <x:col min="9" max="9" width="20" hidden="0" customWidth="1"/>
    <x:col min="10" max="10" width="10" hidden="0" customWidth="1"/>
    <x:col min="11" max="11" width="45" hidden="0" customWidth="1"/>
  </x:cols>
  <x:sheetData>
    <x:row r="1">
      <x:c r="A1" s="25" t="str">
        <x:v>节目/季</x:v>
      </x:c>
      <x:c r="B1" s="25" t="str">
        <x:v>期数</x:v>
      </x:c>
      <x:c r="C1" s="25" t="str">
        <x:v>主要事件</x:v>
      </x:c>
      <x:c r="D1" s="25" t="str">
        <x:v>十个勤天外重要人物</x:v>
      </x:c>
      <x:c r="E1" s="25" t="str">
        <x:v>故事线</x:v>
      </x:c>
      <x:c r="F1" s="25" t="str">
        <x:v>助农/惠农事件</x:v>
      </x:c>
      <x:c r="G1" s="25" t="str">
        <x:v>助农类型</x:v>
      </x:c>
      <x:c r="H1" s="25" t="str">
        <x:v>跨期/跨季串联</x:v>
      </x:c>
      <x:c r="I1" s="25" t="str">
        <x:v>地点</x:v>
      </x:c>
      <x:c r="J1" s="25" t="str">
        <x:v>置信度</x:v>
      </x:c>
      <x:c r="K1" s="25" t="str">
        <x:v>来源</x:v>
      </x:c>
    </x:row>
    <x:row r="2">
      <x:c r="A2" s="16" t="str">
        <x:v>种地吧S2</x:v>
      </x:c>
      <x:c r="B2" s="16" t="n">
        <x:v>1</x:v>
      </x:c>
      <x:c r="C2" s="16" t="str">
        <x:v>扩地到约450亩，抢收水稻、翻耕还田</x:v>
      </x:c>
      <x:c r="D2" s="16" t="str">
        <x:v>农业技术人员/供应商/来访嘉宾（视当期）</x:v>
      </x:c>
      <x:c r="E2" s="16" t="str">
        <x:v>S2总线：从扩大生产规模转向综合农场经营，并逐步打通加工、品牌、销售与助农。</x:v>
      </x:c>
      <x:c r="F2" s="16" t="str">
        <x:v>—</x:v>
      </x:c>
      <x:c r="G2" s="16" t="str">
        <x:v>—</x:v>
      </x:c>
      <x:c r="H2" s="16" t="str"/>
      <x:c r="I2" s="16" t="str">
        <x:v>后陡门/外出产区</x:v>
      </x:c>
      <x:c r="J2" s="16" t="str">
        <x:v>中高</x:v>
      </x:c>
      <x:c r="K2" s="16" t="str">
        <x:v>https://www.iqiyi.com/a_1ob6ur0upnl.html</x:v>
      </x:c>
    </x:row>
    <x:row r="3">
      <x:c r="A3" s="16" t="str">
        <x:v>种地吧S2</x:v>
      </x:c>
      <x:c r="B3" s="16" t="n">
        <x:v>2</x:v>
      </x:c>
      <x:c r="C3" s="16" t="str">
        <x:v>土地偏干，集中采购并卸肥，推进水肥管理</x:v>
      </x:c>
      <x:c r="D3" s="16" t="str">
        <x:v>农业技术人员/供应商/来访嘉宾（视当期）</x:v>
      </x:c>
      <x:c r="E3" s="16" t="str">
        <x:v>S2总线：从扩大生产规模转向综合农场经营，并逐步打通加工、品牌、销售与助农。</x:v>
      </x:c>
      <x:c r="F3" s="16" t="str">
        <x:v>—</x:v>
      </x:c>
      <x:c r="G3" s="16" t="str">
        <x:v>—</x:v>
      </x:c>
      <x:c r="H3" s="16" t="str"/>
      <x:c r="I3" s="16" t="str">
        <x:v>后陡门/外出产区</x:v>
      </x:c>
      <x:c r="J3" s="16" t="str">
        <x:v>中高</x:v>
      </x:c>
      <x:c r="K3" s="16" t="str">
        <x:v>https://www.iqiyi.com/a_1ob6ur0upnl.html</x:v>
      </x:c>
    </x:row>
    <x:row r="4">
      <x:c r="A4" s="16" t="str">
        <x:v>种地吧S2</x:v>
      </x:c>
      <x:c r="B4" s="16" t="n">
        <x:v>3</x:v>
      </x:c>
      <x:c r="C4" s="16" t="str">
        <x:v>获得玻璃大棚和人工湖，提出草莓、小龙虾、水培、玫瑰等新项目</x:v>
      </x:c>
      <x:c r="D4" s="16" t="str">
        <x:v>张绍刚、毛不易；厨师/大棚人员</x:v>
      </x:c>
      <x:c r="E4" s="16" t="str">
        <x:v>S2总线：从扩大生产规模转向综合农场经营，并逐步打通加工、品牌、销售与助农。</x:v>
      </x:c>
      <x:c r="F4" s="16" t="str">
        <x:v>—</x:v>
      </x:c>
      <x:c r="G4" s="16" t="str">
        <x:v>—</x:v>
      </x:c>
      <x:c r="H4" s="16" t="str"/>
      <x:c r="I4" s="16" t="str">
        <x:v>后陡门/外出产区</x:v>
      </x:c>
      <x:c r="J4" s="16" t="str">
        <x:v>中高</x:v>
      </x:c>
      <x:c r="K4" s="16" t="str">
        <x:v>https://www.iqiyi.com/a_1ob6ur0upnl.html</x:v>
      </x:c>
    </x:row>
    <x:row r="5">
      <x:c r="A5" s="16" t="str">
        <x:v>种地吧S2</x:v>
      </x:c>
      <x:c r="B5" s="16" t="n">
        <x:v>4</x:v>
      </x:c>
      <x:c r="C5" s="16" t="str">
        <x:v>清理大棚、补玻璃、旋耕整地；冬至与生日活动</x:v>
      </x:c>
      <x:c r="D5" s="16" t="str">
        <x:v>农业技术人员/供应商/来访嘉宾（视当期）</x:v>
      </x:c>
      <x:c r="E5" s="16" t="str">
        <x:v>S2总线：从扩大生产规模转向综合农场经营，并逐步打通加工、品牌、销售与助农。</x:v>
      </x:c>
      <x:c r="F5" s="16" t="str">
        <x:v>—</x:v>
      </x:c>
      <x:c r="G5" s="16" t="str">
        <x:v>—</x:v>
      </x:c>
      <x:c r="H5" s="16" t="str"/>
      <x:c r="I5" s="16" t="str">
        <x:v>后陡门/外出产区</x:v>
      </x:c>
      <x:c r="J5" s="16" t="str">
        <x:v>中高</x:v>
      </x:c>
      <x:c r="K5" s="16" t="str">
        <x:v>https://www.iqiyi.com/a_1ob6ur0upnl.html</x:v>
      </x:c>
    </x:row>
    <x:row r="6">
      <x:c r="A6" s="16" t="str">
        <x:v>种地吧S2</x:v>
      </x:c>
      <x:c r="B6" s="16" t="n">
        <x:v>5</x:v>
      </x:c>
      <x:c r="C6" s="16" t="str">
        <x:v>丹东学草莓、盱眙学小龙虾</x:v>
      </x:c>
      <x:c r="D6" s="16" t="str">
        <x:v>丹东草莓种植户、盱眙龙虾学院老师</x:v>
      </x:c>
      <x:c r="E6" s="16" t="str">
        <x:v>S2总线：从扩大生产规模转向综合农场经营，并逐步打通加工、品牌、销售与助农。</x:v>
      </x:c>
      <x:c r="F6" s="16" t="str">
        <x:v>—</x:v>
      </x:c>
      <x:c r="G6" s="16" t="str">
        <x:v>—</x:v>
      </x:c>
      <x:c r="H6" s="16" t="str"/>
      <x:c r="I6" s="16" t="str">
        <x:v>后陡门/外出产区</x:v>
      </x:c>
      <x:c r="J6" s="16" t="str">
        <x:v>中高</x:v>
      </x:c>
      <x:c r="K6" s="16" t="str">
        <x:v>https://www.iqiyi.com/a_1ob6ur0upnl.html</x:v>
      </x:c>
    </x:row>
    <x:row r="7">
      <x:c r="A7" s="16" t="str">
        <x:v>种地吧S2</x:v>
      </x:c>
      <x:c r="B7" s="16" t="n">
        <x:v>6</x:v>
      </x:c>
      <x:c r="C7" s="16" t="str">
        <x:v>继续游学并对接苗源/加工，收到春晚工作邀请</x:v>
      </x:c>
      <x:c r="D7" s="16" t="str">
        <x:v>龙虾技术老师、草莓苗合作方</x:v>
      </x:c>
      <x:c r="E7" s="16" t="str">
        <x:v>S2总线：从扩大生产规模转向综合农场经营，并逐步打通加工、品牌、销售与助农。</x:v>
      </x:c>
      <x:c r="F7" s="16" t="str">
        <x:v>—</x:v>
      </x:c>
      <x:c r="G7" s="16" t="str">
        <x:v>—</x:v>
      </x:c>
      <x:c r="H7" s="16" t="str"/>
      <x:c r="I7" s="16" t="str">
        <x:v>后陡门/外出产区</x:v>
      </x:c>
      <x:c r="J7" s="16" t="str">
        <x:v>中高</x:v>
      </x:c>
      <x:c r="K7" s="16" t="str">
        <x:v>https://www.iqiyi.com/a_1ob6ur0upnl.html</x:v>
      </x:c>
    </x:row>
    <x:row r="8">
      <x:c r="A8" s="16" t="str">
        <x:v>种地吧S2</x:v>
      </x:c>
      <x:c r="B8" s="16" t="n">
        <x:v>7</x:v>
      </x:c>
      <x:c r="C8" s="16" t="str">
        <x:v>虾塘、鱼塘、水培、玫瑰、草莓等七项目并行</x:v>
      </x:c>
      <x:c r="D8" s="16" t="str">
        <x:v>农业技术人员/供应商/来访嘉宾（视当期）</x:v>
      </x:c>
      <x:c r="E8" s="16" t="str">
        <x:v>S2总线：从扩大生产规模转向综合农场经营，并逐步打通加工、品牌、销售与助农。</x:v>
      </x:c>
      <x:c r="F8" s="16" t="str">
        <x:v>—</x:v>
      </x:c>
      <x:c r="G8" s="16" t="str">
        <x:v>—</x:v>
      </x:c>
      <x:c r="H8" s="16" t="str"/>
      <x:c r="I8" s="16" t="str">
        <x:v>后陡门/外出产区</x:v>
      </x:c>
      <x:c r="J8" s="16" t="str">
        <x:v>中高</x:v>
      </x:c>
      <x:c r="K8" s="16" t="str">
        <x:v>https://www.iqiyi.com/a_1ob6ur0upnl.html</x:v>
      </x:c>
    </x:row>
    <x:row r="9">
      <x:c r="A9" s="16" t="str">
        <x:v>种地吧S2</x:v>
      </x:c>
      <x:c r="B9" s="16" t="n">
        <x:v>8</x:v>
      </x:c>
      <x:c r="C9" s="16" t="str">
        <x:v>第二次十个勤天年会</x:v>
      </x:c>
      <x:c r="D9" s="16" t="str">
        <x:v>范志毅、李维嘉、王勉</x:v>
      </x:c>
      <x:c r="E9" s="16" t="str">
        <x:v>S2总线：从扩大生产规模转向综合农场经营，并逐步打通加工、品牌、销售与助农。</x:v>
      </x:c>
      <x:c r="F9" s="16" t="str">
        <x:v>—</x:v>
      </x:c>
      <x:c r="G9" s="16" t="str">
        <x:v>—</x:v>
      </x:c>
      <x:c r="H9" s="16" t="str"/>
      <x:c r="I9" s="16" t="str">
        <x:v>后陡门/外出产区</x:v>
      </x:c>
      <x:c r="J9" s="16" t="str">
        <x:v>中高</x:v>
      </x:c>
      <x:c r="K9" s="16" t="str">
        <x:v>https://www.iqiyi.com/a_1ob6ur0upnl.html</x:v>
      </x:c>
    </x:row>
    <x:row r="10">
      <x:c r="A10" s="16" t="str">
        <x:v>种地吧S2</x:v>
      </x:c>
      <x:c r="B10" s="16" t="n">
        <x:v>9</x:v>
      </x:c>
      <x:c r="C10" s="16" t="str">
        <x:v>春节前抢工期：虾塘鱼塘、大棚、水培等基础建设</x:v>
      </x:c>
      <x:c r="D10" s="16" t="str">
        <x:v>农业技术人员/供应商/来访嘉宾（视当期）</x:v>
      </x:c>
      <x:c r="E10" s="16" t="str">
        <x:v>S2总线：从扩大生产规模转向综合农场经营，并逐步打通加工、品牌、销售与助农。</x:v>
      </x:c>
      <x:c r="F10" s="16" t="str">
        <x:v>—</x:v>
      </x:c>
      <x:c r="G10" s="16" t="str">
        <x:v>—</x:v>
      </x:c>
      <x:c r="H10" s="16" t="str"/>
      <x:c r="I10" s="16" t="str">
        <x:v>后陡门/外出产区</x:v>
      </x:c>
      <x:c r="J10" s="16" t="str">
        <x:v>中高</x:v>
      </x:c>
      <x:c r="K10" s="16" t="str">
        <x:v>https://www.iqiyi.com/a_1ob6ur0upnl.html</x:v>
      </x:c>
    </x:row>
    <x:row r="11">
      <x:c r="A11" s="16" t="str">
        <x:v>种地吧S2</x:v>
      </x:c>
      <x:c r="B11" s="16" t="n">
        <x:v>10</x:v>
      </x:c>
      <x:c r="C11" s="16" t="str">
        <x:v>亲友团支援，种水草、搭流水线、推进多项目</x:v>
      </x:c>
      <x:c r="D11" s="16" t="str">
        <x:v>童宇及亲友团</x:v>
      </x:c>
      <x:c r="E11" s="16" t="str">
        <x:v>S2总线：从扩大生产规模转向综合农场经营，并逐步打通加工、品牌、销售与助农。</x:v>
      </x:c>
      <x:c r="F11" s="16" t="str">
        <x:v>—</x:v>
      </x:c>
      <x:c r="G11" s="16" t="str">
        <x:v>—</x:v>
      </x:c>
      <x:c r="H11" s="16" t="str"/>
      <x:c r="I11" s="16" t="str">
        <x:v>后陡门/外出产区</x:v>
      </x:c>
      <x:c r="J11" s="16" t="str">
        <x:v>中高</x:v>
      </x:c>
      <x:c r="K11" s="16" t="str">
        <x:v>https://www.iqiyi.com/a_1ob6ur0upnl.html</x:v>
      </x:c>
    </x:row>
    <x:row r="12">
      <x:c r="A12" s="16" t="str">
        <x:v>种地吧S2</x:v>
      </x:c>
      <x:c r="B12" s="16" t="n">
        <x:v>11</x:v>
      </x:c>
      <x:c r="C12" s="16" t="str">
        <x:v>朋友继续补人力；追肥、鱼塘和草莓设施施工</x:v>
      </x:c>
      <x:c r="D12" s="16" t="str">
        <x:v>王阳、张绍刚、童宇等</x:v>
      </x:c>
      <x:c r="E12" s="16" t="str">
        <x:v>S2总线：从扩大生产规模转向综合农场经营，并逐步打通加工、品牌、销售与助农。</x:v>
      </x:c>
      <x:c r="F12" s="16" t="str">
        <x:v>—</x:v>
      </x:c>
      <x:c r="G12" s="16" t="str">
        <x:v>—</x:v>
      </x:c>
      <x:c r="H12" s="16" t="str"/>
      <x:c r="I12" s="16" t="str">
        <x:v>后陡门/外出产区</x:v>
      </x:c>
      <x:c r="J12" s="16" t="str">
        <x:v>中高</x:v>
      </x:c>
      <x:c r="K12" s="16" t="str">
        <x:v>https://www.iqiyi.com/a_1ob6ur0upnl.html</x:v>
      </x:c>
    </x:row>
    <x:row r="13">
      <x:c r="A13" s="16" t="str">
        <x:v>种地吧S2</x:v>
      </x:c>
      <x:c r="B13" s="16" t="n">
        <x:v>12</x:v>
      </x:c>
      <x:c r="C13" s="16" t="str">
        <x:v>云南学食用玫瑰；草莓、玫瑰设施赶工，外务与农时冲突</x:v>
      </x:c>
      <x:c r="D13" s="16" t="str">
        <x:v>农业技术人员/供应商/来访嘉宾（视当期）</x:v>
      </x:c>
      <x:c r="E13" s="16" t="str">
        <x:v>S2总线：从扩大生产规模转向综合农场经营，并逐步打通加工、品牌、销售与助农。</x:v>
      </x:c>
      <x:c r="F13" s="16" t="str">
        <x:v>—</x:v>
      </x:c>
      <x:c r="G13" s="16" t="str">
        <x:v>—</x:v>
      </x:c>
      <x:c r="H13" s="16" t="str"/>
      <x:c r="I13" s="16" t="str">
        <x:v>后陡门/外出产区</x:v>
      </x:c>
      <x:c r="J13" s="16" t="str">
        <x:v>中高</x:v>
      </x:c>
      <x:c r="K13" s="16" t="str">
        <x:v>https://www.iqiyi.com/a_1ob6ur0upnl.html</x:v>
      </x:c>
    </x:row>
    <x:row r="14">
      <x:c r="A14" s="16" t="str">
        <x:v>种地吧S2</x:v>
      </x:c>
      <x:c r="B14" s="16" t="n">
        <x:v>13</x:v>
      </x:c>
      <x:c r="C14" s="16" t="str">
        <x:v>春晚联排后返场，大批玫瑰苗到达并临时招工；张凯丽来访</x:v>
      </x:c>
      <x:c r="D14" s="16" t="str">
        <x:v>张凯丽、临时招募工人</x:v>
      </x:c>
      <x:c r="E14" s="16" t="str">
        <x:v>S2总线：从扩大生产规模转向综合农场经营，并逐步打通加工、品牌、销售与助农。</x:v>
      </x:c>
      <x:c r="F14" s="16" t="str">
        <x:v>—</x:v>
      </x:c>
      <x:c r="G14" s="16" t="str">
        <x:v>—</x:v>
      </x:c>
      <x:c r="H14" s="16" t="str"/>
      <x:c r="I14" s="16" t="str">
        <x:v>后陡门/外出产区</x:v>
      </x:c>
      <x:c r="J14" s="16" t="str">
        <x:v>中高</x:v>
      </x:c>
      <x:c r="K14" s="16" t="str">
        <x:v>https://www.iqiyi.com/a_1ob6ur0upnl.html</x:v>
      </x:c>
    </x:row>
    <x:row r="15">
      <x:c r="A15" s="16" t="str">
        <x:v>种地吧S2</x:v>
      </x:c>
      <x:c r="B15" s="16" t="n">
        <x:v>14</x:v>
      </x:c>
      <x:c r="C15" s="16" t="str">
        <x:v>继续搬基质、铺设施，家人陆续抵达</x:v>
      </x:c>
      <x:c r="D15" s="16" t="str">
        <x:v>农业技术人员/供应商/来访嘉宾（视当期）</x:v>
      </x:c>
      <x:c r="E15" s="16" t="str">
        <x:v>S2总线：从扩大生产规模转向综合农场经营，并逐步打通加工、品牌、销售与助农。</x:v>
      </x:c>
      <x:c r="F15" s="16" t="str">
        <x:v>—</x:v>
      </x:c>
      <x:c r="G15" s="16" t="str">
        <x:v>—</x:v>
      </x:c>
      <x:c r="H15" s="16" t="str"/>
      <x:c r="I15" s="16" t="str">
        <x:v>后陡门/外出产区</x:v>
      </x:c>
      <x:c r="J15" s="16" t="str">
        <x:v>中高</x:v>
      </x:c>
      <x:c r="K15" s="16" t="str">
        <x:v>https://www.iqiyi.com/a_1ob6ur0upnl.html</x:v>
      </x:c>
    </x:row>
    <x:row r="16">
      <x:c r="A16" s="16" t="str">
        <x:v>种地吧S2</x:v>
      </x:c>
      <x:c r="B16" s="16" t="n">
        <x:v>15</x:v>
      </x:c>
      <x:c r="C16" s="16" t="str">
        <x:v>家长团种草莓，周年家庭活动</x:v>
      </x:c>
      <x:c r="D16" s="16" t="str">
        <x:v>成员家长团、张绍刚</x:v>
      </x:c>
      <x:c r="E16" s="16" t="str">
        <x:v>S2总线：从扩大生产规模转向综合农场经营，并逐步打通加工、品牌、销售与助农。</x:v>
      </x:c>
      <x:c r="F16" s="16" t="str">
        <x:v>—</x:v>
      </x:c>
      <x:c r="G16" s="16" t="str">
        <x:v>—</x:v>
      </x:c>
      <x:c r="H16" s="16" t="str"/>
      <x:c r="I16" s="16" t="str">
        <x:v>后陡门/外出产区</x:v>
      </x:c>
      <x:c r="J16" s="16" t="str">
        <x:v>中高</x:v>
      </x:c>
      <x:c r="K16" s="16" t="str">
        <x:v>https://www.iqiyi.com/a_1ob6ur0upnl.html</x:v>
      </x:c>
    </x:row>
    <x:row r="17">
      <x:c r="A17" s="16" t="str">
        <x:v>种地吧S2</x:v>
      </x:c>
      <x:c r="B17" s="16" t="n">
        <x:v>16</x:v>
      </x:c>
      <x:c r="C17" s="16" t="str">
        <x:v>年后复工；虾塘消毒、鱼塘浮桥、大棚漏水；调研生菜销售</x:v>
      </x:c>
      <x:c r="D17" s="16" t="str">
        <x:v>农业技术人员/供应商/来访嘉宾（视当期）</x:v>
      </x:c>
      <x:c r="E17" s="16" t="str">
        <x:v>S2总线：从扩大生产规模转向综合农场经营，并逐步打通加工、品牌、销售与助农。</x:v>
      </x:c>
      <x:c r="F17" s="16" t="str">
        <x:v>—</x:v>
      </x:c>
      <x:c r="G17" s="16" t="str">
        <x:v>—</x:v>
      </x:c>
      <x:c r="H17" s="16" t="str"/>
      <x:c r="I17" s="16" t="str">
        <x:v>后陡门/外出产区</x:v>
      </x:c>
      <x:c r="J17" s="16" t="str">
        <x:v>中高</x:v>
      </x:c>
      <x:c r="K17" s="16" t="str">
        <x:v>https://www.iqiyi.com/a_1ob6ur0upnl.html</x:v>
      </x:c>
    </x:row>
    <x:row r="18">
      <x:c r="A18" s="16" t="str">
        <x:v>种地吧S2</x:v>
      </x:c>
      <x:c r="B18" s="16" t="n">
        <x:v>17</x:v>
      </x:c>
      <x:c r="C18" s="16" t="str">
        <x:v>水培生菜首次进入菜市场真实销售</x:v>
      </x:c>
      <x:c r="D18" s="16" t="str">
        <x:v>菜市场商户/顾客</x:v>
      </x:c>
      <x:c r="E18" s="16" t="str">
        <x:v>S2总线：从扩大生产规模转向综合农场经营，并逐步打通加工、品牌、销售与助农。</x:v>
      </x:c>
      <x:c r="F18" s="30" t="str">
        <x:v>菜市场销售自产水培生菜，完成生产到成交的真实闭环。</x:v>
      </x:c>
      <x:c r="G18" s="30" t="str">
        <x:v>产销实践</x:v>
      </x:c>
      <x:c r="H18" s="30" t="str">
        <x:v>为后续郁金香直播和农产品品牌化升级。</x:v>
      </x:c>
      <x:c r="I18" s="16" t="str">
        <x:v>后陡门/外出产区</x:v>
      </x:c>
      <x:c r="J18" s="16" t="str">
        <x:v>高</x:v>
      </x:c>
      <x:c r="K18" s="16" t="str">
        <x:v>https://www.iqiyi.com/a_1ob6ur0upnl.html</x:v>
      </x:c>
    </x:row>
    <x:row r="19">
      <x:c r="A19" s="16" t="str">
        <x:v>种地吧S2</x:v>
      </x:c>
      <x:c r="B19" s="16" t="n">
        <x:v>18</x:v>
      </x:c>
      <x:c r="C19" s="16" t="str">
        <x:v>继续卖菜，同时抢救玫瑰/草莓生长问题</x:v>
      </x:c>
      <x:c r="D19" s="16" t="str">
        <x:v>花卉专家、菜市场商户</x:v>
      </x:c>
      <x:c r="E19" s="16" t="str">
        <x:v>S2总线：从扩大生产规模转向综合农场经营，并逐步打通加工、品牌、销售与助农。</x:v>
      </x:c>
      <x:c r="F19" s="16" t="str">
        <x:v>—</x:v>
      </x:c>
      <x:c r="G19" s="16" t="str">
        <x:v>—</x:v>
      </x:c>
      <x:c r="H19" s="16" t="str"/>
      <x:c r="I19" s="16" t="str">
        <x:v>后陡门/外出产区</x:v>
      </x:c>
      <x:c r="J19" s="16" t="str">
        <x:v>中高</x:v>
      </x:c>
      <x:c r="K19" s="16" t="str">
        <x:v>https://www.iqiyi.com/a_1ob6ur0upnl.html</x:v>
      </x:c>
    </x:row>
    <x:row r="20">
      <x:c r="A20" s="16" t="str">
        <x:v>种地吧S2</x:v>
      </x:c>
      <x:c r="B20" s="16" t="n">
        <x:v>19</x:v>
      </x:c>
      <x:c r="C20" s="16" t="str">
        <x:v>先遣队赴甘肃民勤治沙，后陡门留守继续项目</x:v>
      </x:c>
      <x:c r="D20" s="16" t="str">
        <x:v>民勤治沙人员</x:v>
      </x:c>
      <x:c r="E20" s="16" t="str">
        <x:v>S2总线：从扩大生产规模转向综合农场经营，并逐步打通加工、品牌、销售与助农。</x:v>
      </x:c>
      <x:c r="F20" s="16" t="str">
        <x:v>—</x:v>
      </x:c>
      <x:c r="G20" s="16" t="str">
        <x:v>—</x:v>
      </x:c>
      <x:c r="H20" s="16" t="str"/>
      <x:c r="I20" s="16" t="str">
        <x:v>后陡门/外出产区</x:v>
      </x:c>
      <x:c r="J20" s="16" t="str">
        <x:v>中高</x:v>
      </x:c>
      <x:c r="K20" s="16" t="str">
        <x:v>https://www.iqiyi.com/a_1ob6ur0upnl.html</x:v>
      </x:c>
    </x:row>
    <x:row r="21">
      <x:c r="A21" s="16" t="str">
        <x:v>种地吧S2</x:v>
      </x:c>
      <x:c r="B21" s="16" t="n">
        <x:v>20</x:v>
      </x:c>
      <x:c r="C21" s="16" t="str">
        <x:v>全员民勤种梭梭，适应风沙与荒漠劳动</x:v>
      </x:c>
      <x:c r="D21" s="16" t="str">
        <x:v>民勤治沙人员/当地劳动者</x:v>
      </x:c>
      <x:c r="E21" s="16" t="str">
        <x:v>S2总线：从扩大生产规模转向综合农场经营，并逐步打通加工、品牌、销售与助农。</x:v>
      </x:c>
      <x:c r="F21" s="16" t="str">
        <x:v>—</x:v>
      </x:c>
      <x:c r="G21" s="16" t="str">
        <x:v>—</x:v>
      </x:c>
      <x:c r="H21" s="16" t="str"/>
      <x:c r="I21" s="16" t="str">
        <x:v>后陡门/外出产区</x:v>
      </x:c>
      <x:c r="J21" s="16" t="str">
        <x:v>中高</x:v>
      </x:c>
      <x:c r="K21" s="16" t="str">
        <x:v>https://www.iqiyi.com/a_1ob6ur0upnl.html</x:v>
      </x:c>
    </x:row>
    <x:row r="22">
      <x:c r="A22" s="16" t="str">
        <x:v>种地吧S2</x:v>
      </x:c>
      <x:c r="B22" s="16" t="n">
        <x:v>21</x:v>
      </x:c>
      <x:c r="C22" s="16" t="str">
        <x:v>书记组织当地村民支援，冲刺约18万株；接触人参果产业</x:v>
      </x:c>
      <x:c r="D22" s="16" t="str">
        <x:v>当地书记、村民、合作种植户、高进等</x:v>
      </x:c>
      <x:c r="E22" s="16" t="str">
        <x:v>S2总线：从扩大生产规模转向综合农场经营，并逐步打通加工、品牌、销售与助农。</x:v>
      </x:c>
      <x:c r="F22" s="30" t="str">
        <x:v>在民勤与当地干部、村民协作种梭梭，同时接触当地人参果产业，开始从生态劳动延伸到助农销售。</x:v>
      </x:c>
      <x:c r="G22" s="30" t="str">
        <x:v>生态助农+产业助农</x:v>
      </x:c>
      <x:c r="H22" s="30" t="str">
        <x:v>22期直播与音乐会完成闭环；S3继续走向异地助农。</x:v>
      </x:c>
      <x:c r="I22" s="16" t="str">
        <x:v>后陡门/外出产区</x:v>
      </x:c>
      <x:c r="J22" s="16" t="str">
        <x:v>高</x:v>
      </x:c>
      <x:c r="K22" s="16" t="str">
        <x:v>https://www.iqiyi.com/a_1ob6ur0upnl.html</x:v>
      </x:c>
    </x:row>
    <x:row r="23">
      <x:c r="A23" s="16" t="str">
        <x:v>种地吧S2</x:v>
      </x:c>
      <x:c r="B23" s="16" t="n">
        <x:v>22</x:v>
      </x:c>
      <x:c r="C23" s="16" t="str">
        <x:v>完成约18万株梭梭，做助农直播并举行沙漠音乐会</x:v>
      </x:c>
      <x:c r="D23" s="16" t="str">
        <x:v>高进、房东的猫、高嘉朗、王赫野、志愿者</x:v>
      </x:c>
      <x:c r="E23" s="16" t="str">
        <x:v>S2总线：从扩大生产规模转向综合农场经营，并逐步打通加工、品牌、销售与助农。</x:v>
      </x:c>
      <x:c r="F23" s="30" t="str">
        <x:v>完成约18万株梭梭种植；为当地人参果做助农直播，沙漠音乐会回馈参与者。</x:v>
      </x:c>
      <x:c r="G23" s="30" t="str">
        <x:v>生态助农+直播助农</x:v>
      </x:c>
      <x:c r="H23" s="30" t="str">
        <x:v>成为全系列第一个完整的“异地发现问题—劳动—销售—回馈”案例。</x:v>
      </x:c>
      <x:c r="I23" s="16" t="str">
        <x:v>后陡门/外出产区</x:v>
      </x:c>
      <x:c r="J23" s="16" t="str">
        <x:v>高</x:v>
      </x:c>
      <x:c r="K23" s="16" t="str">
        <x:v>https://www.iqiyi.com/a_1ob6ur0upnl.html</x:v>
      </x:c>
    </x:row>
    <x:row r="24">
      <x:c r="A24" s="16" t="str">
        <x:v>种地吧S2</x:v>
      </x:c>
      <x:c r="B24" s="16" t="n">
        <x:v>23</x:v>
      </x:c>
      <x:c r="C24" s="16" t="str">
        <x:v>返回后陡门，水培/鱼塘等进入产出期</x:v>
      </x:c>
      <x:c r="D24" s="16" t="str">
        <x:v>农业技术人员/供应商/来访嘉宾（视当期）</x:v>
      </x:c>
      <x:c r="E24" s="16" t="str">
        <x:v>S2总线：从扩大生产规模转向综合农场经营，并逐步打通加工、品牌、销售与助农。</x:v>
      </x:c>
      <x:c r="F24" s="16" t="str">
        <x:v>—</x:v>
      </x:c>
      <x:c r="G24" s="16" t="str">
        <x:v>—</x:v>
      </x:c>
      <x:c r="H24" s="16" t="str"/>
      <x:c r="I24" s="16" t="str">
        <x:v>后陡门/外出产区</x:v>
      </x:c>
      <x:c r="J24" s="16" t="str">
        <x:v>中高</x:v>
      </x:c>
      <x:c r="K24" s="16" t="str">
        <x:v>https://www.iqiyi.com/a_1ob6ur0upnl.html</x:v>
      </x:c>
    </x:row>
    <x:row r="25">
      <x:c r="A25" s="16" t="str">
        <x:v>种地吧S2</x:v>
      </x:c>
      <x:c r="B25" s="16" t="n">
        <x:v>24</x:v>
      </x:c>
      <x:c r="C25" s="16" t="str">
        <x:v>学习养蜂；郁金香进入销售倒计时</x:v>
      </x:c>
      <x:c r="D25" s="16" t="str">
        <x:v>农业技术人员/供应商/来访嘉宾（视当期）</x:v>
      </x:c>
      <x:c r="E25" s="16" t="str">
        <x:v>S2总线：从扩大生产规模转向综合农场经营，并逐步打通加工、品牌、销售与助农。</x:v>
      </x:c>
      <x:c r="F25" s="16" t="str">
        <x:v>—</x:v>
      </x:c>
      <x:c r="G25" s="16" t="str">
        <x:v>—</x:v>
      </x:c>
      <x:c r="H25" s="16" t="str"/>
      <x:c r="I25" s="16" t="str">
        <x:v>后陡门/外出产区</x:v>
      </x:c>
      <x:c r="J25" s="16" t="str">
        <x:v>中高</x:v>
      </x:c>
      <x:c r="K25" s="16" t="str">
        <x:v>https://www.iqiyi.com/a_1ob6ur0upnl.html</x:v>
      </x:c>
    </x:row>
    <x:row r="26">
      <x:c r="A26" s="16" t="str">
        <x:v>种地吧S2</x:v>
      </x:c>
      <x:c r="B26" s="16" t="n">
        <x:v>25</x:v>
      </x:c>
      <x:c r="C26" s="16" t="str">
        <x:v>郁金香线下多场景+线上直播售罄</x:v>
      </x:c>
      <x:c r="D26" s="16" t="str">
        <x:v>农业技术人员/供应商/来访嘉宾（视当期）</x:v>
      </x:c>
      <x:c r="E26" s="16" t="str">
        <x:v>S2总线：从扩大生产规模转向综合农场经营，并逐步打通加工、品牌、销售与助农。</x:v>
      </x:c>
      <x:c r="F26" s="16" t="str">
        <x:v>—</x:v>
      </x:c>
      <x:c r="G26" s="16" t="str">
        <x:v>—</x:v>
      </x:c>
      <x:c r="H26" s="16" t="str"/>
      <x:c r="I26" s="16" t="str">
        <x:v>后陡门/外出产区</x:v>
      </x:c>
      <x:c r="J26" s="16" t="str">
        <x:v>中高</x:v>
      </x:c>
      <x:c r="K26" s="16" t="str">
        <x:v>https://www.iqiyi.com/a_1ob6ur0upnl.html</x:v>
      </x:c>
    </x:row>
    <x:row r="27">
      <x:c r="A27" s="16" t="str">
        <x:v>种地吧S2</x:v>
      </x:c>
      <x:c r="B27" s="16" t="n">
        <x:v>26</x:v>
      </x:c>
      <x:c r="C27" s="16" t="str">
        <x:v>蜂箱入场、小龙虾苗入塘；尝试蘑菇寄售、鲜花饼；考虑收购邻农草莓做酱</x:v>
      </x:c>
      <x:c r="D27" s="16" t="str">
        <x:v>农业技术人员/供应商/来访嘉宾（视当期）</x:v>
      </x:c>
      <x:c r="E27" s="16" t="str">
        <x:v>S2总线：从扩大生产规模转向综合农场经营，并逐步打通加工、品牌、销售与助农。</x:v>
      </x:c>
      <x:c r="F27" s="30" t="str">
        <x:v>考虑收购邻近农户卖不掉的草莓，加工成草莓酱。</x:v>
      </x:c>
      <x:c r="G27" s="30" t="str">
        <x:v>滞销农产收购/加工</x:v>
      </x:c>
      <x:c r="H27" s="30" t="str">
        <x:v>32期扩大周边草莓采购，形成供应链。</x:v>
      </x:c>
      <x:c r="I27" s="16" t="str">
        <x:v>后陡门/外出产区</x:v>
      </x:c>
      <x:c r="J27" s="16" t="str">
        <x:v>高</x:v>
      </x:c>
      <x:c r="K27" s="16" t="str">
        <x:v>https://www.iqiyi.com/a_1ob6ur0upnl.html</x:v>
      </x:c>
    </x:row>
    <x:row r="28">
      <x:c r="A28" s="16" t="str">
        <x:v>种地吧S2</x:v>
      </x:c>
      <x:c r="B28" s="16" t="n">
        <x:v>27</x:v>
      </x:c>
      <x:c r="C28" s="16" t="str">
        <x:v>张国立邓婕到访；蜂群管理出现邻场抢蜜问题</x:v>
      </x:c>
      <x:c r="D28" s="16" t="str">
        <x:v>张国立、邓婕；邻场养蜂人员</x:v>
      </x:c>
      <x:c r="E28" s="16" t="str">
        <x:v>S2总线：从扩大生产规模转向综合农场经营，并逐步打通加工、品牌、销售与助农。</x:v>
      </x:c>
      <x:c r="F28" s="16" t="str">
        <x:v>—</x:v>
      </x:c>
      <x:c r="G28" s="16" t="str">
        <x:v>—</x:v>
      </x:c>
      <x:c r="H28" s="16" t="str"/>
      <x:c r="I28" s="16" t="str">
        <x:v>后陡门/外出产区</x:v>
      </x:c>
      <x:c r="J28" s="16" t="str">
        <x:v>中高</x:v>
      </x:c>
      <x:c r="K28" s="16" t="str">
        <x:v>https://www.iqiyi.com/a_1ob6ur0upnl.html</x:v>
      </x:c>
    </x:row>
    <x:row r="29">
      <x:c r="A29" s="16" t="str">
        <x:v>种地吧S2</x:v>
      </x:c>
      <x:c r="B29" s="16" t="n">
        <x:v>28</x:v>
      </x:c>
      <x:c r="C29" s="16" t="str">
        <x:v>播大豆；考察草莓酱工厂和植物工厂</x:v>
      </x:c>
      <x:c r="D29" s="16" t="str">
        <x:v>农业技术人员/供应商/来访嘉宾（视当期）</x:v>
      </x:c>
      <x:c r="E29" s="16" t="str">
        <x:v>S2总线：从扩大生产规模转向综合农场经营，并逐步打通加工、品牌、销售与助农。</x:v>
      </x:c>
      <x:c r="F29" s="16" t="str">
        <x:v>—</x:v>
      </x:c>
      <x:c r="G29" s="16" t="str">
        <x:v>—</x:v>
      </x:c>
      <x:c r="H29" s="16" t="str"/>
      <x:c r="I29" s="16" t="str">
        <x:v>后陡门/外出产区</x:v>
      </x:c>
      <x:c r="J29" s="16" t="str">
        <x:v>中高</x:v>
      </x:c>
      <x:c r="K29" s="16" t="str">
        <x:v>https://www.iqiyi.com/a_1ob6ur0upnl.html</x:v>
      </x:c>
    </x:row>
    <x:row r="30">
      <x:c r="A30" s="16" t="str">
        <x:v>种地吧S2</x:v>
      </x:c>
      <x:c r="B30" s="16" t="n">
        <x:v>29</x:v>
      </x:c>
      <x:c r="C30" s="16" t="str">
        <x:v>摇蜜、鱼病检测、小龙虾产品化、草莓酱工厂考察</x:v>
      </x:c>
      <x:c r="D30" s="16" t="str">
        <x:v>农业技术人员/供应商/来访嘉宾（视当期）</x:v>
      </x:c>
      <x:c r="E30" s="16" t="str">
        <x:v>S2总线：从扩大生产规模转向综合农场经营，并逐步打通加工、品牌、销售与助农。</x:v>
      </x:c>
      <x:c r="F30" s="16" t="str">
        <x:v>—</x:v>
      </x:c>
      <x:c r="G30" s="16" t="str">
        <x:v>—</x:v>
      </x:c>
      <x:c r="H30" s="16" t="str"/>
      <x:c r="I30" s="16" t="str">
        <x:v>后陡门/外出产区</x:v>
      </x:c>
      <x:c r="J30" s="16" t="str">
        <x:v>中高</x:v>
      </x:c>
      <x:c r="K30" s="16" t="str">
        <x:v>https://www.iqiyi.com/a_1ob6ur0upnl.html</x:v>
      </x:c>
    </x:row>
    <x:row r="31">
      <x:c r="A31" s="16" t="str">
        <x:v>种地吧S2</x:v>
      </x:c>
      <x:c r="B31" s="16" t="n">
        <x:v>30</x:v>
      </x:c>
      <x:c r="C31" s="16" t="str">
        <x:v>KPL选手做客并参与农活</x:v>
      </x:c>
      <x:c r="D31" s="16" t="str">
        <x:v>KPL职业选手</x:v>
      </x:c>
      <x:c r="E31" s="16" t="str">
        <x:v>S2总线：从扩大生产规模转向综合农场经营，并逐步打通加工、品牌、销售与助农。</x:v>
      </x:c>
      <x:c r="F31" s="16" t="str">
        <x:v>—</x:v>
      </x:c>
      <x:c r="G31" s="16" t="str">
        <x:v>—</x:v>
      </x:c>
      <x:c r="H31" s="16" t="str"/>
      <x:c r="I31" s="16" t="str">
        <x:v>后陡门/外出产区</x:v>
      </x:c>
      <x:c r="J31" s="16" t="str">
        <x:v>中高</x:v>
      </x:c>
      <x:c r="K31" s="16" t="str">
        <x:v>https://www.iqiyi.com/a_1ob6ur0upnl.html</x:v>
      </x:c>
    </x:row>
    <x:row r="32">
      <x:c r="A32" s="16" t="str">
        <x:v>种地吧S2</x:v>
      </x:c>
      <x:c r="B32" s="16" t="n">
        <x:v>31</x:v>
      </x:c>
      <x:c r="C32" s="16" t="str">
        <x:v>考察辣椒酱、鱼、小龙虾加工方案</x:v>
      </x:c>
      <x:c r="D32" s="16" t="str">
        <x:v>农业技术人员/供应商/来访嘉宾（视当期）</x:v>
      </x:c>
      <x:c r="E32" s="16" t="str">
        <x:v>S2总线：从扩大生产规模转向综合农场经营，并逐步打通加工、品牌、销售与助农。</x:v>
      </x:c>
      <x:c r="F32" s="16" t="str">
        <x:v>—</x:v>
      </x:c>
      <x:c r="G32" s="16" t="str">
        <x:v>—</x:v>
      </x:c>
      <x:c r="H32" s="16" t="str"/>
      <x:c r="I32" s="16" t="str">
        <x:v>后陡门/外出产区</x:v>
      </x:c>
      <x:c r="J32" s="16" t="str">
        <x:v>中高</x:v>
      </x:c>
      <x:c r="K32" s="16" t="str">
        <x:v>https://www.iqiyi.com/a_1ob6ur0upnl.html</x:v>
      </x:c>
    </x:row>
    <x:row r="33">
      <x:c r="A33" s="16" t="str">
        <x:v>种地吧S2</x:v>
      </x:c>
      <x:c r="B33" s="16" t="n">
        <x:v>32</x:v>
      </x:c>
      <x:c r="C33" s="16" t="str">
        <x:v>集中采玫瑰、草莓，开始向周边果农采购原料</x:v>
      </x:c>
      <x:c r="D33" s="16" t="str">
        <x:v>农业技术人员/供应商/来访嘉宾（视当期）</x:v>
      </x:c>
      <x:c r="E33" s="16" t="str">
        <x:v>S2总线：从扩大生产规模转向综合农场经营，并逐步打通加工、品牌、销售与助农。</x:v>
      </x:c>
      <x:c r="F33" s="30" t="str">
        <x:v>向周边果农采购草莓，扩大原料来源，把自营加工变成带动周边农户。</x:v>
      </x:c>
      <x:c r="G33" s="30" t="str">
        <x:v>采购助农</x:v>
      </x:c>
      <x:c r="H33" s="30" t="str">
        <x:v>S3“乡村合伙人/集散中心”的前身。</x:v>
      </x:c>
      <x:c r="I33" s="16" t="str">
        <x:v>后陡门/外出产区</x:v>
      </x:c>
      <x:c r="J33" s="16" t="str">
        <x:v>高</x:v>
      </x:c>
      <x:c r="K33" s="16" t="str">
        <x:v>https://www.iqiyi.com/a_1ob6ur0upnl.html</x:v>
      </x:c>
    </x:row>
    <x:row r="34">
      <x:c r="A34" s="16" t="str">
        <x:v>种地吧S2</x:v>
      </x:c>
      <x:c r="B34" s="16" t="n">
        <x:v>33</x:v>
      </x:c>
      <x:c r="C34" s="16" t="str">
        <x:v>果蔬制粉、蜂蜜MOQ、草莓酱打样等创业问题集中出现</x:v>
      </x:c>
      <x:c r="D34" s="16" t="str">
        <x:v>张绍刚、麦家；加工/检测人员</x:v>
      </x:c>
      <x:c r="E34" s="16" t="str">
        <x:v>S2总线：从扩大生产规模转向综合农场经营，并逐步打通加工、品牌、销售与助农。</x:v>
      </x:c>
      <x:c r="F34" s="16" t="str">
        <x:v>—</x:v>
      </x:c>
      <x:c r="G34" s="16" t="str">
        <x:v>—</x:v>
      </x:c>
      <x:c r="H34" s="16" t="str"/>
      <x:c r="I34" s="16" t="str">
        <x:v>后陡门/外出产区</x:v>
      </x:c>
      <x:c r="J34" s="16" t="str">
        <x:v>中高</x:v>
      </x:c>
      <x:c r="K34" s="16" t="str">
        <x:v>https://www.iqiyi.com/a_1ob6ur0upnl.html</x:v>
      </x:c>
    </x:row>
    <x:row r="35">
      <x:c r="A35" s="16" t="str">
        <x:v>种地吧S2</x:v>
      </x:c>
      <x:c r="B35" s="16" t="n">
        <x:v>34</x:v>
      </x:c>
      <x:c r="C35" s="16" t="str">
        <x:v>小龙虾收获并举行产品品鉴会</x:v>
      </x:c>
      <x:c r="D35" s="16" t="str">
        <x:v>农业技术人员/供应商/来访嘉宾（视当期）</x:v>
      </x:c>
      <x:c r="E35" s="16" t="str">
        <x:v>S2总线：从扩大生产规模转向综合农场经营，并逐步打通加工、品牌、销售与助农。</x:v>
      </x:c>
      <x:c r="F35" s="16" t="str">
        <x:v>—</x:v>
      </x:c>
      <x:c r="G35" s="16" t="str">
        <x:v>—</x:v>
      </x:c>
      <x:c r="H35" s="16" t="str"/>
      <x:c r="I35" s="16" t="str">
        <x:v>后陡门/外出产区</x:v>
      </x:c>
      <x:c r="J35" s="16" t="str">
        <x:v>中高</x:v>
      </x:c>
      <x:c r="K35" s="16" t="str">
        <x:v>https://www.iqiyi.com/a_1ob6ur0upnl.html</x:v>
      </x:c>
    </x:row>
    <x:row r="36">
      <x:c r="A36" s="16" t="str">
        <x:v>种地吧S2</x:v>
      </x:c>
      <x:c r="B36" s="16" t="n">
        <x:v>35</x:v>
      </x:c>
      <x:c r="C36" s="16" t="str">
        <x:v>收割前植保；物联网搭建；捕捞翘嘴并外采龙虾/玫瑰原料</x:v>
      </x:c>
      <x:c r="D36" s="16" t="str">
        <x:v>农业技术人员/供应商/来访嘉宾（视当期）</x:v>
      </x:c>
      <x:c r="E36" s="16" t="str">
        <x:v>S2总线：从扩大生产规模转向综合农场经营，并逐步打通加工、品牌、销售与助农。</x:v>
      </x:c>
      <x:c r="F36" s="16" t="str">
        <x:v>—</x:v>
      </x:c>
      <x:c r="G36" s="16" t="str">
        <x:v>—</x:v>
      </x:c>
      <x:c r="H36" s="16" t="str"/>
      <x:c r="I36" s="16" t="str">
        <x:v>后陡门/外出产区</x:v>
      </x:c>
      <x:c r="J36" s="16" t="str">
        <x:v>高</x:v>
      </x:c>
      <x:c r="K36" s="16" t="str">
        <x:v>https://www.iqiyi.com/a_1ob6ur0upnl.html</x:v>
      </x:c>
    </x:row>
    <x:row r="37">
      <x:c r="A37" s="16" t="str">
        <x:v>种地吧S2</x:v>
      </x:c>
      <x:c r="B37" s="16" t="n">
        <x:v>36</x:v>
      </x:c>
      <x:c r="C37" s="16" t="str">
        <x:v>筹备5·18爱侬日、包装、工服、活动排练</x:v>
      </x:c>
      <x:c r="D37" s="16" t="str">
        <x:v>农业技术人员/供应商/来访嘉宾（视当期）</x:v>
      </x:c>
      <x:c r="E37" s="16" t="str">
        <x:v>S2总线：从扩大生产规模转向综合农场经营，并逐步打通加工、品牌、销售与助农。</x:v>
      </x:c>
      <x:c r="F37" s="16" t="str">
        <x:v>—</x:v>
      </x:c>
      <x:c r="G37" s="16" t="str">
        <x:v>—</x:v>
      </x:c>
      <x:c r="H37" s="16" t="str"/>
      <x:c r="I37" s="16" t="str">
        <x:v>后陡门/外出产区</x:v>
      </x:c>
      <x:c r="J37" s="16" t="str">
        <x:v>高</x:v>
      </x:c>
      <x:c r="K37" s="16" t="str">
        <x:v>https://www.iqiyi.com/a_1ob6ur0upnl.html</x:v>
      </x:c>
    </x:row>
    <x:row r="38">
      <x:c r="A38" s="16" t="str">
        <x:v>种地吧S2</x:v>
      </x:c>
      <x:c r="B38" s="16" t="n">
        <x:v>37</x:v>
      </x:c>
      <x:c r="C38" s="16" t="str">
        <x:v>爱侬日论坛+直播，把多款农产品集中推向市场</x:v>
      </x:c>
      <x:c r="D38" s="16" t="str">
        <x:v>新农人代表、文旅/行业机构</x:v>
      </x:c>
      <x:c r="E38" s="16" t="str">
        <x:v>S2总线：从扩大生产规模转向综合农场经营，并逐步打通加工、品牌、销售与助农。</x:v>
      </x:c>
      <x:c r="F38" s="30" t="str">
        <x:v>爱侬日邀请新农人和行业机构，集中推介并直播销售自有/合作农产品。</x:v>
      </x:c>
      <x:c r="G38" s="30" t="str">
        <x:v>平台助农/直播</x:v>
      </x:c>
      <x:c r="H38" s="30" t="str">
        <x:v>S3爱侬研讨会与新农人平台直接继承。</x:v>
      </x:c>
      <x:c r="I38" s="16" t="str">
        <x:v>后陡门/外出产区</x:v>
      </x:c>
      <x:c r="J38" s="16" t="str">
        <x:v>高</x:v>
      </x:c>
      <x:c r="K38" s="16" t="str">
        <x:v>https://www.iqiyi.com/a_1ob6ur0upnl.html</x:v>
      </x:c>
    </x:row>
    <x:row r="39">
      <x:c r="A39" s="16" t="str">
        <x:v>种地吧S2</x:v>
      </x:c>
      <x:c r="B39" s="16" t="n">
        <x:v>38</x:v>
      </x:c>
      <x:c r="C39" s="16" t="str">
        <x:v>赴缙云/仙居考察杨梅并谈采购</x:v>
      </x:c>
      <x:c r="D39" s="16" t="str">
        <x:v>村长、杨梅农户、古树守护人</x:v>
      </x:c>
      <x:c r="E39" s="16" t="str">
        <x:v>S2总线：从扩大生产规模转向综合农场经营，并逐步打通加工、品牌、销售与助农。</x:v>
      </x:c>
      <x:c r="F39" s="30" t="str">
        <x:v>赴缙云仁岸村、仙居考察杨梅并与村方谈采购。</x:v>
      </x:c>
      <x:c r="G39" s="30" t="str">
        <x:v>产地采购/渠道</x:v>
      </x:c>
      <x:c r="H39" s="30" t="str">
        <x:v>S3、S4进一步制度化为全国农产采购与合作。</x:v>
      </x:c>
      <x:c r="I39" s="16" t="str">
        <x:v>后陡门/外出产区</x:v>
      </x:c>
      <x:c r="J39" s="16" t="str">
        <x:v>高</x:v>
      </x:c>
      <x:c r="K39" s="16" t="str">
        <x:v>https://www.iqiyi.com/a_1ob6ur0upnl.html</x:v>
      </x:c>
    </x:row>
    <x:row r="40">
      <x:c r="A40" s="16" t="str">
        <x:v>种地吧S2</x:v>
      </x:c>
      <x:c r="B40" s="16" t="n">
        <x:v>39</x:v>
      </x:c>
      <x:c r="C40" s="16" t="str">
        <x:v>徐志胜呼兰王建国返场，展示农场与物联网成果</x:v>
      </x:c>
      <x:c r="D40" s="16" t="str">
        <x:v>徐志胜、呼兰、王建国</x:v>
      </x:c>
      <x:c r="E40" s="16" t="str">
        <x:v>S2总线：从扩大生产规模转向综合农场经营，并逐步打通加工、品牌、销售与助农。</x:v>
      </x:c>
      <x:c r="F40" s="16" t="str">
        <x:v>—</x:v>
      </x:c>
      <x:c r="G40" s="16" t="str">
        <x:v>—</x:v>
      </x:c>
      <x:c r="H40" s="16" t="str"/>
      <x:c r="I40" s="16" t="str">
        <x:v>后陡门/外出产区</x:v>
      </x:c>
      <x:c r="J40" s="16" t="str">
        <x:v>高</x:v>
      </x:c>
      <x:c r="K40" s="16" t="str">
        <x:v>https://www.iqiyi.com/a_1ob6ur0upnl.html</x:v>
      </x:c>
    </x:row>
    <x:row r="41">
      <x:c r="A41" s="16" t="str">
        <x:v>种地吧S2</x:v>
      </x:c>
      <x:c r="B41" s="16" t="n">
        <x:v>40</x:v>
      </x:c>
      <x:c r="C41" s="16" t="str">
        <x:v>450亩大田收割</x:v>
      </x:c>
      <x:c r="D41" s="16" t="str">
        <x:v>农业技术人员/供应商/来访嘉宾（视当期）</x:v>
      </x:c>
      <x:c r="E41" s="16" t="str">
        <x:v>S2总线：从扩大生产规模转向综合农场经营，并逐步打通加工、品牌、销售与助农。</x:v>
      </x:c>
      <x:c r="F41" s="16" t="str">
        <x:v>—</x:v>
      </x:c>
      <x:c r="G41" s="16" t="str">
        <x:v>—</x:v>
      </x:c>
      <x:c r="H41" s="16" t="str"/>
      <x:c r="I41" s="16" t="str">
        <x:v>后陡门/外出产区</x:v>
      </x:c>
      <x:c r="J41" s="16" t="str">
        <x:v>高</x:v>
      </x:c>
      <x:c r="K41" s="16" t="str">
        <x:v>https://www.iqiyi.com/a_1ob6ur0upnl.html</x:v>
      </x:c>
    </x:row>
    <x:row r="42">
      <x:c r="A42" s="16" t="str">
        <x:v>种地吧S2</x:v>
      </x:c>
      <x:c r="B42" s="16" t="n">
        <x:v>41</x:v>
      </x:c>
      <x:c r="C42" s="16" t="str">
        <x:v>第二届麦田音乐会开场</x:v>
      </x:c>
      <x:c r="D42" s="16" t="str">
        <x:v>张绍刚、成员父母</x:v>
      </x:c>
      <x:c r="E42" s="16" t="str">
        <x:v>S2总线：从扩大生产规模转向综合农场经营，并逐步打通加工、品牌、销售与助农。</x:v>
      </x:c>
      <x:c r="F42" s="16" t="str">
        <x:v>—</x:v>
      </x:c>
      <x:c r="G42" s="16" t="str">
        <x:v>—</x:v>
      </x:c>
      <x:c r="H42" s="16" t="str"/>
      <x:c r="I42" s="16" t="str">
        <x:v>后陡门/外出产区</x:v>
      </x:c>
      <x:c r="J42" s="16" t="str">
        <x:v>高</x:v>
      </x:c>
      <x:c r="K42" s="16" t="str">
        <x:v>https://www.iqiyi.com/a_1ob6ur0upnl.html</x:v>
      </x:c>
    </x:row>
    <x:row r="43">
      <x:c r="A43" s="16" t="str">
        <x:v>种地吧S2</x:v>
      </x:c>
      <x:c r="B43" s="16" t="n">
        <x:v>42</x:v>
      </x:c>
      <x:c r="C43" s="16" t="str">
        <x:v>音乐会与回顾，亲友共同见证</x:v>
      </x:c>
      <x:c r="D43" s="16" t="str">
        <x:v>农业技术人员/供应商/来访嘉宾（视当期）</x:v>
      </x:c>
      <x:c r="E43" s="16" t="str">
        <x:v>S2总线：从扩大生产规模转向综合农场经营，并逐步打通加工、品牌、销售与助农。</x:v>
      </x:c>
      <x:c r="F43" s="16" t="str">
        <x:v>—</x:v>
      </x:c>
      <x:c r="G43" s="16" t="str">
        <x:v>—</x:v>
      </x:c>
      <x:c r="H43" s="16" t="str"/>
      <x:c r="I43" s="16" t="str">
        <x:v>后陡门/外出产区</x:v>
      </x:c>
      <x:c r="J43" s="16" t="str">
        <x:v>高</x:v>
      </x:c>
      <x:c r="K43" s="16" t="str">
        <x:v>https://www.iqiyi.com/a_1ob6ur0upnl.html</x:v>
      </x:c>
    </x:row>
    <x:row r="44">
      <x:c r="A44" s="16" t="str">
        <x:v>种地吧S2</x:v>
      </x:c>
      <x:c r="B44" s="16" t="n">
        <x:v>43</x:v>
      </x:c>
      <x:c r="C44" s="16" t="str">
        <x:v>杀青饭；完成最后百里香采收；讨论第三季更大自主权</x:v>
      </x:c>
      <x:c r="D44" s="16" t="str">
        <x:v>成员父母、村民、杨导</x:v>
      </x:c>
      <x:c r="E44" s="16" t="str">
        <x:v>S2总线：从扩大生产规模转向综合农场经营，并逐步打通加工、品牌、销售与助农。</x:v>
      </x:c>
      <x:c r="F44" s="16" t="str">
        <x:v>—</x:v>
      </x:c>
      <x:c r="G44" s="16" t="str">
        <x:v>—</x:v>
      </x:c>
      <x:c r="H44" s="16" t="str"/>
      <x:c r="I44" s="16" t="str">
        <x:v>后陡门/外出产区</x:v>
      </x:c>
      <x:c r="J44" s="16" t="str">
        <x:v>高</x:v>
      </x:c>
      <x:c r="K44" s="16" t="str">
        <x:v>https://www.iqiyi.com/a_1ob6ur0upnl.html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45" hidden="0" customWidth="1"/>
    <x:col min="4" max="4" width="28" hidden="0" customWidth="1"/>
    <x:col min="5" max="5" width="28" hidden="0" customWidth="1"/>
    <x:col min="6" max="6" width="42" hidden="0" customWidth="1"/>
    <x:col min="7" max="7" width="16" hidden="0" customWidth="1"/>
    <x:col min="8" max="8" width="42" hidden="0" customWidth="1"/>
    <x:col min="9" max="9" width="20" hidden="0" customWidth="1"/>
    <x:col min="10" max="10" width="10" hidden="0" customWidth="1"/>
    <x:col min="11" max="11" width="45" hidden="0" customWidth="1"/>
  </x:cols>
  <x:sheetData>
    <x:row r="1">
      <x:c r="A1" s="25" t="str">
        <x:v>节目/季</x:v>
      </x:c>
      <x:c r="B1" s="25" t="str">
        <x:v>期数</x:v>
      </x:c>
      <x:c r="C1" s="25" t="str">
        <x:v>主要事件</x:v>
      </x:c>
      <x:c r="D1" s="25" t="str">
        <x:v>十个勤天外重要人物</x:v>
      </x:c>
      <x:c r="E1" s="25" t="str">
        <x:v>故事线</x:v>
      </x:c>
      <x:c r="F1" s="25" t="str">
        <x:v>助农/惠农事件</x:v>
      </x:c>
      <x:c r="G1" s="25" t="str">
        <x:v>助农类型</x:v>
      </x:c>
      <x:c r="H1" s="25" t="str">
        <x:v>跨期/跨季串联</x:v>
      </x:c>
      <x:c r="I1" s="25" t="str">
        <x:v>地点</x:v>
      </x:c>
      <x:c r="J1" s="25" t="str">
        <x:v>置信度</x:v>
      </x:c>
      <x:c r="K1" s="25" t="str">
        <x:v>来源</x:v>
      </x:c>
    </x:row>
    <x:row r="2">
      <x:c r="A2" s="16" t="str">
        <x:v>种地吧S3</x:v>
      </x:c>
      <x:c r="B2" s="16" t="n">
        <x:v>1</x:v>
      </x:c>
      <x:c r="C2" s="16" t="str">
        <x:v>5小时收166吨水稻，重新以高强度农业劳动开季</x:v>
      </x:c>
      <x:c r="D2" s="16" t="str">
        <x:v>当地农户/新农人/技术人员/来访嘉宾（视当期）</x:v>
      </x:c>
      <x:c r="E2" s="16" t="str">
        <x:v>S3总线：后陡门升级为农产品交流集散中心，重点从“自己卖货”变为帮助各地产区建立产品、渠道和能力。</x:v>
      </x:c>
      <x:c r="F2" s="16" t="str">
        <x:v>—</x:v>
      </x:c>
      <x:c r="G2" s="16" t="str">
        <x:v>—</x:v>
      </x:c>
      <x:c r="H2" s="16" t="str"/>
      <x:c r="I2" s="16" t="str">
        <x:v>后陡门/东北/青海囊谦/西双版纳等</x:v>
      </x:c>
      <x:c r="J2" s="16" t="str">
        <x:v>中</x:v>
      </x:c>
      <x:c r="K2" s="16" t="str">
        <x:v>https://pages.iqiyi.com/p/zy/zhongdiba3.html</x:v>
      </x:c>
    </x:row>
    <x:row r="3">
      <x:c r="A3" s="16" t="str">
        <x:v>种地吧S3</x:v>
      </x:c>
      <x:c r="B3" s="16" t="n">
        <x:v>2</x:v>
      </x:c>
      <x:c r="C3" s="16" t="str">
        <x:v>走出后陡门，考察青海囊谦大棚等外部农业场景</x:v>
      </x:c>
      <x:c r="D3" s="16" t="str">
        <x:v>当地农户/新农人/技术人员/来访嘉宾（视当期）</x:v>
      </x:c>
      <x:c r="E3" s="16" t="str">
        <x:v>S3总线：后陡门升级为农产品交流集散中心，重点从“自己卖货”变为帮助各地产区建立产品、渠道和能力。</x:v>
      </x:c>
      <x:c r="F3" s="16" t="str">
        <x:v>—</x:v>
      </x:c>
      <x:c r="G3" s="16" t="str">
        <x:v>—</x:v>
      </x:c>
      <x:c r="H3" s="16" t="str"/>
      <x:c r="I3" s="16" t="str">
        <x:v>后陡门/东北/青海囊谦/西双版纳等</x:v>
      </x:c>
      <x:c r="J3" s="16" t="str">
        <x:v>中</x:v>
      </x:c>
      <x:c r="K3" s="16" t="str">
        <x:v>https://pages.iqiyi.com/p/zy/zhongdiba3.html</x:v>
      </x:c>
    </x:row>
    <x:row r="4">
      <x:c r="A4" s="16" t="str">
        <x:v>种地吧S3</x:v>
      </x:c>
      <x:c r="B4" s="16" t="n">
        <x:v>3</x:v>
      </x:c>
      <x:c r="C4" s="16" t="str">
        <x:v>东北极寒打沙棘，认识当地产业与村民生产</x:v>
      </x:c>
      <x:c r="D4" s="16" t="str">
        <x:v>当地农户/新农人/技术人员/来访嘉宾（视当期）</x:v>
      </x:c>
      <x:c r="E4" s="16" t="str">
        <x:v>S3总线：后陡门升级为农产品交流集散中心，重点从“自己卖货”变为帮助各地产区建立产品、渠道和能力。</x:v>
      </x:c>
      <x:c r="F4" s="30" t="str">
        <x:v>在东北林口等地参与沙棘采收，接触当地村民与产业困境。</x:v>
      </x:c>
      <x:c r="G4" s="30" t="str">
        <x:v>劳动助农/产业调研</x:v>
      </x:c>
      <x:c r="H4" s="30" t="str">
        <x:v>4-6期升级为沙棘产品研发、乡村合伙人与年货大集。</x:v>
      </x:c>
      <x:c r="I4" s="16" t="str">
        <x:v>后陡门/东北/青海囊谦/西双版纳等</x:v>
      </x:c>
      <x:c r="J4" s="16" t="str">
        <x:v>高</x:v>
      </x:c>
      <x:c r="K4" s="16" t="str">
        <x:v>https://pages.iqiyi.com/p/zy/zhongdiba3.html</x:v>
      </x:c>
    </x:row>
    <x:row r="5">
      <x:c r="A5" s="16" t="str">
        <x:v>种地吧S3</x:v>
      </x:c>
      <x:c r="B5" s="16" t="n">
        <x:v>4</x:v>
      </x:c>
      <x:c r="C5" s="16" t="str">
        <x:v>给猪打针等养殖劳动；尝试研发沙棘皂</x:v>
      </x:c>
      <x:c r="D5" s="16" t="str">
        <x:v>当地农户/新农人/技术人员/来访嘉宾（视当期）</x:v>
      </x:c>
      <x:c r="E5" s="16" t="str">
        <x:v>S3总线：后陡门升级为农产品交流集散中心，重点从“自己卖货”变为帮助各地产区建立产品、渠道和能力。</x:v>
      </x:c>
      <x:c r="F5" s="30" t="str">
        <x:v>把沙棘从原料问题转化为“做什么产品”的研发问题，尝试沙棘皂。</x:v>
      </x:c>
      <x:c r="G5" s="30" t="str">
        <x:v>产品研发助农</x:v>
      </x:c>
      <x:c r="H5" s="30" t="str">
        <x:v>5-6期形成销售与合伙人分红。</x:v>
      </x:c>
      <x:c r="I5" s="16" t="str">
        <x:v>后陡门/东北/青海囊谦/西双版纳等</x:v>
      </x:c>
      <x:c r="J5" s="16" t="str">
        <x:v>高</x:v>
      </x:c>
      <x:c r="K5" s="16" t="str">
        <x:v>https://pages.iqiyi.com/p/zy/zhongdiba3.html</x:v>
      </x:c>
    </x:row>
    <x:row r="6">
      <x:c r="A6" s="16" t="str">
        <x:v>种地吧S3</x:v>
      </x:c>
      <x:c r="B6" s="16" t="n">
        <x:v>5</x:v>
      </x:c>
      <x:c r="C6" s="16" t="str">
        <x:v>手工皂项目受挫；发起/推进乡村合伙人计划并参与村民年俗</x:v>
      </x:c>
      <x:c r="D6" s="16" t="str">
        <x:v>当地农户/新农人/技术人员/来访嘉宾（视当期）</x:v>
      </x:c>
      <x:c r="E6" s="16" t="str">
        <x:v>S3总线：后陡门升级为农产品交流集散中心，重点从“自己卖货”变为帮助各地产区建立产品、渠道和能力。</x:v>
      </x:c>
      <x:c r="F6" s="30" t="str">
        <x:v>发起/推进“乡村合伙人计划”，把当地农户/村集体纳入合作机制。</x:v>
      </x:c>
      <x:c r="G6" s="30" t="str">
        <x:v>乡村合伙人</x:v>
      </x:c>
      <x:c r="H6" s="30" t="str">
        <x:v>这是S3最关键制度创新之一。</x:v>
      </x:c>
      <x:c r="I6" s="16" t="str">
        <x:v>后陡门/东北/青海囊谦/西双版纳等</x:v>
      </x:c>
      <x:c r="J6" s="16" t="str">
        <x:v>高</x:v>
      </x:c>
      <x:c r="K6" s="16" t="str">
        <x:v>https://pages.iqiyi.com/p/zy/zhongdiba3.html</x:v>
      </x:c>
    </x:row>
    <x:row r="7">
      <x:c r="A7" s="16" t="str">
        <x:v>种地吧S3</x:v>
      </x:c>
      <x:c r="B7" s="16" t="n">
        <x:v>6</x:v>
      </x:c>
      <x:c r="C7" s="16" t="str">
        <x:v>沙棘之夜+年货大集，产品销售与合伙人分红</x:v>
      </x:c>
      <x:c r="D7" s="16" t="str">
        <x:v>庞博、杨笠、于祥宇；乡村合伙人/当地村民</x:v>
      </x:c>
      <x:c r="E7" s="16" t="str">
        <x:v>S3总线：后陡门升级为农产品交流集散中心，重点从“自己卖货”变为帮助各地产区建立产品、渠道和能力。</x:v>
      </x:c>
      <x:c r="F7" s="30" t="str">
        <x:v>年货大集销售合作产品，并给乡村合伙人分红。</x:v>
      </x:c>
      <x:c r="G7" s="30" t="str">
        <x:v>销售助农/利益共享</x:v>
      </x:c>
      <x:c r="H7" s="30" t="str">
        <x:v>从一次性曝光升级为明确收益回流。</x:v>
      </x:c>
      <x:c r="I7" s="16" t="str">
        <x:v>后陡门/东北/青海囊谦/西双版纳等</x:v>
      </x:c>
      <x:c r="J7" s="16" t="str">
        <x:v>高</x:v>
      </x:c>
      <x:c r="K7" s="16" t="str">
        <x:v>https://pages.iqiyi.com/p/zy/zhongdiba3.html</x:v>
      </x:c>
    </x:row>
    <x:row r="8">
      <x:c r="A8" s="16" t="str">
        <x:v>种地吧S3</x:v>
      </x:c>
      <x:c r="B8" s="16" t="n">
        <x:v>7</x:v>
      </x:c>
      <x:c r="C8" s="16" t="str">
        <x:v>陈小春张智霖等来访；紫薇树种植、项目推进</x:v>
      </x:c>
      <x:c r="D8" s="16" t="str">
        <x:v>陈小春、张智霖、林更新等</x:v>
      </x:c>
      <x:c r="E8" s="16" t="str">
        <x:v>S3总线：后陡门升级为农产品交流集散中心，重点从“自己卖货”变为帮助各地产区建立产品、渠道和能力。</x:v>
      </x:c>
      <x:c r="F8" s="16" t="str">
        <x:v>—</x:v>
      </x:c>
      <x:c r="G8" s="16" t="str">
        <x:v>—</x:v>
      </x:c>
      <x:c r="H8" s="16" t="str"/>
      <x:c r="I8" s="16" t="str">
        <x:v>后陡门/东北/青海囊谦/西双版纳等</x:v>
      </x:c>
      <x:c r="J8" s="16" t="str">
        <x:v>中</x:v>
      </x:c>
      <x:c r="K8" s="16" t="str">
        <x:v>https://pages.iqiyi.com/p/zy/zhongdiba3.html</x:v>
      </x:c>
    </x:row>
    <x:row r="9">
      <x:c r="A9" s="16" t="str">
        <x:v>种地吧S3</x:v>
      </x:c>
      <x:c r="B9" s="16" t="n">
        <x:v>8</x:v>
      </x:c>
      <x:c r="C9" s="16" t="str">
        <x:v>后陡门生产继续，复盘与外援劳动</x:v>
      </x:c>
      <x:c r="D9" s="16" t="str">
        <x:v>当地农户/新农人/技术人员/来访嘉宾（视当期）</x:v>
      </x:c>
      <x:c r="E9" s="16" t="str">
        <x:v>S3总线：后陡门升级为农产品交流集散中心，重点从“自己卖货”变为帮助各地产区建立产品、渠道和能力。</x:v>
      </x:c>
      <x:c r="F9" s="16" t="str">
        <x:v>—</x:v>
      </x:c>
      <x:c r="G9" s="16" t="str">
        <x:v>—</x:v>
      </x:c>
      <x:c r="H9" s="16" t="str"/>
      <x:c r="I9" s="16" t="str">
        <x:v>后陡门/东北/青海囊谦/西双版纳等</x:v>
      </x:c>
      <x:c r="J9" s="16" t="str">
        <x:v>中</x:v>
      </x:c>
      <x:c r="K9" s="16" t="str">
        <x:v>https://pages.iqiyi.com/p/zy/zhongdiba3.html</x:v>
      </x:c>
    </x:row>
    <x:row r="10">
      <x:c r="A10" s="16" t="str">
        <x:v>种地吧S3</x:v>
      </x:c>
      <x:c r="B10" s="16" t="n">
        <x:v>9</x:v>
      </x:c>
      <x:c r="C10" s="16" t="str">
        <x:v>西双版纳学习热情果等种植；后陡门同步卸基质土</x:v>
      </x:c>
      <x:c r="D10" s="16" t="str">
        <x:v>当地农户/新农人/技术人员/来访嘉宾（视当期）</x:v>
      </x:c>
      <x:c r="E10" s="16" t="str">
        <x:v>S3总线：后陡门升级为农产品交流集散中心，重点从“自己卖货”变为帮助各地产区建立产品、渠道和能力。</x:v>
      </x:c>
      <x:c r="F10" s="16" t="str">
        <x:v>—</x:v>
      </x:c>
      <x:c r="G10" s="16" t="str">
        <x:v>—</x:v>
      </x:c>
      <x:c r="H10" s="16" t="str"/>
      <x:c r="I10" s="16" t="str">
        <x:v>后陡门/东北/青海囊谦/西双版纳等</x:v>
      </x:c>
      <x:c r="J10" s="16" t="str">
        <x:v>中</x:v>
      </x:c>
      <x:c r="K10" s="16" t="str">
        <x:v>https://pages.iqiyi.com/p/zy/zhongdiba3.html</x:v>
      </x:c>
    </x:row>
    <x:row r="11">
      <x:c r="A11" s="16" t="str">
        <x:v>种地吧S3</x:v>
      </x:c>
      <x:c r="B11" s="16" t="n">
        <x:v>10</x:v>
      </x:c>
      <x:c r="C11" s="16" t="str">
        <x:v>再赴囊谦，启动大棚改造升级</x:v>
      </x:c>
      <x:c r="D11" s="16" t="str">
        <x:v>囊谦当地村民/技术人员</x:v>
      </x:c>
      <x:c r="E11" s="16" t="str">
        <x:v>S3总线：后陡门升级为农产品交流集散中心，重点从“自己卖货”变为帮助各地产区建立产品、渠道和能力。</x:v>
      </x:c>
      <x:c r="F11" s="30" t="str">
        <x:v>再赴青海囊谦，改造当地大棚，提高设施农业能力。</x:v>
      </x:c>
      <x:c r="G11" s="30" t="str">
        <x:v>基建/技术助农</x:v>
      </x:c>
      <x:c r="H11" s="30" t="str">
        <x:v>11-12期持续，后续当地伙伴进入麦田音乐会和直播。</x:v>
      </x:c>
      <x:c r="I11" s="16" t="str">
        <x:v>后陡门/东北/青海囊谦/西双版纳等</x:v>
      </x:c>
      <x:c r="J11" s="16" t="str">
        <x:v>高</x:v>
      </x:c>
      <x:c r="K11" s="16" t="str">
        <x:v>https://pages.iqiyi.com/p/zy/zhongdiba3.html</x:v>
      </x:c>
    </x:row>
    <x:row r="12">
      <x:c r="A12" s="16" t="str">
        <x:v>种地吧S3</x:v>
      </x:c>
      <x:c r="B12" s="16" t="n">
        <x:v>11</x:v>
      </x:c>
      <x:c r="C12" s="16" t="str">
        <x:v>囊谦大棚基建、暴风雪环境下施工</x:v>
      </x:c>
      <x:c r="D12" s="16" t="str">
        <x:v>当地农户/新农人/技术人员/来访嘉宾（视当期）</x:v>
      </x:c>
      <x:c r="E12" s="16" t="str">
        <x:v>S3总线：后陡门升级为农产品交流集散中心，重点从“自己卖货”变为帮助各地产区建立产品、渠道和能力。</x:v>
      </x:c>
      <x:c r="F12" s="30" t="str">
        <x:v>暴风雪中继续囊谦大棚改造，改善当地设施农业生产条件。</x:v>
      </x:c>
      <x:c r="G12" s="30" t="str">
        <x:v>基建助农</x:v>
      </x:c>
      <x:c r="H12" s="30" t="str">
        <x:v>形成可持续生产能力，而不只是带货。</x:v>
      </x:c>
      <x:c r="I12" s="16" t="str">
        <x:v>后陡门/东北/青海囊谦/西双版纳等</x:v>
      </x:c>
      <x:c r="J12" s="16" t="str">
        <x:v>高</x:v>
      </x:c>
      <x:c r="K12" s="16" t="str">
        <x:v>https://pages.iqiyi.com/p/zy/zhongdiba3.html</x:v>
      </x:c>
    </x:row>
    <x:row r="13">
      <x:c r="A13" s="16" t="str">
        <x:v>种地吧S3</x:v>
      </x:c>
      <x:c r="B13" s="16" t="n">
        <x:v>12</x:v>
      </x:c>
      <x:c r="C13" s="16" t="str">
        <x:v>与当地盐场达成初步合作，准备红盐/白盐采购</x:v>
      </x:c>
      <x:c r="D13" s="16" t="str">
        <x:v>当地农户/新农人/技术人员/来访嘉宾（视当期）</x:v>
      </x:c>
      <x:c r="E13" s="16" t="str">
        <x:v>S3总线：后陡门升级为农产品交流集散中心，重点从“自己卖货”变为帮助各地产区建立产品、渠道和能力。</x:v>
      </x:c>
      <x:c r="F13" s="30" t="str">
        <x:v>与盐场达成合作并下订红盐、白盐，把当地特色产品纳入采购/销售体系。</x:v>
      </x:c>
      <x:c r="G13" s="30" t="str">
        <x:v>产地采购/渠道</x:v>
      </x:c>
      <x:c r="H13" s="30" t="str">
        <x:v>对应S2杨梅采购，升级为平台化选品。</x:v>
      </x:c>
      <x:c r="I13" s="16" t="str">
        <x:v>后陡门/东北/青海囊谦/西双版纳等</x:v>
      </x:c>
      <x:c r="J13" s="16" t="str">
        <x:v>高</x:v>
      </x:c>
      <x:c r="K13" s="16" t="str">
        <x:v>https://pages.iqiyi.com/p/zy/zhongdiba3.html</x:v>
      </x:c>
    </x:row>
    <x:row r="14">
      <x:c r="A14" s="16" t="str">
        <x:v>种地吧S3</x:v>
      </x:c>
      <x:c r="B14" s="16" t="n">
        <x:v>13</x:v>
      </x:c>
      <x:c r="C14" s="16" t="str">
        <x:v>赵一博回归；继续后陡门项目与外部合作</x:v>
      </x:c>
      <x:c r="D14" s="16" t="str">
        <x:v>当地农户/新农人/技术人员/来访嘉宾（视当期）</x:v>
      </x:c>
      <x:c r="E14" s="16" t="str">
        <x:v>S3总线：后陡门升级为农产品交流集散中心，重点从“自己卖货”变为帮助各地产区建立产品、渠道和能力。</x:v>
      </x:c>
      <x:c r="F14" s="16" t="str">
        <x:v>—</x:v>
      </x:c>
      <x:c r="G14" s="16" t="str">
        <x:v>—</x:v>
      </x:c>
      <x:c r="H14" s="16" t="str"/>
      <x:c r="I14" s="16" t="str">
        <x:v>后陡门/东北/青海囊谦/西双版纳等</x:v>
      </x:c>
      <x:c r="J14" s="16" t="str">
        <x:v>中</x:v>
      </x:c>
      <x:c r="K14" s="16" t="str">
        <x:v>https://pages.iqiyi.com/p/zy/zhongdiba3.html</x:v>
      </x:c>
    </x:row>
    <x:row r="15">
      <x:c r="A15" s="16" t="str">
        <x:v>种地吧S3</x:v>
      </x:c>
      <x:c r="B15" s="16" t="n">
        <x:v>14</x:v>
      </x:c>
      <x:c r="C15" s="16" t="str">
        <x:v>李乃文等到访；水培/大棚生产推进</x:v>
      </x:c>
      <x:c r="D15" s="16" t="str">
        <x:v>李乃文等</x:v>
      </x:c>
      <x:c r="E15" s="16" t="str">
        <x:v>S3总线：后陡门升级为农产品交流集散中心，重点从“自己卖货”变为帮助各地产区建立产品、渠道和能力。</x:v>
      </x:c>
      <x:c r="F15" s="16" t="str">
        <x:v>—</x:v>
      </x:c>
      <x:c r="G15" s="16" t="str">
        <x:v>—</x:v>
      </x:c>
      <x:c r="H15" s="16" t="str"/>
      <x:c r="I15" s="16" t="str">
        <x:v>后陡门/东北/青海囊谦/西双版纳等</x:v>
      </x:c>
      <x:c r="J15" s="16" t="str">
        <x:v>中</x:v>
      </x:c>
      <x:c r="K15" s="16" t="str">
        <x:v>https://pages.iqiyi.com/p/zy/zhongdiba3.html</x:v>
      </x:c>
    </x:row>
    <x:row r="16">
      <x:c r="A16" s="16" t="str">
        <x:v>种地吧S3</x:v>
      </x:c>
      <x:c r="B16" s="16" t="n">
        <x:v>15</x:v>
      </x:c>
      <x:c r="C16" s="16" t="str">
        <x:v>系统学习咖啡知识与咖啡豆一生</x:v>
      </x:c>
      <x:c r="D16" s="16" t="str">
        <x:v>当地农户/新农人/技术人员/来访嘉宾（视当期）</x:v>
      </x:c>
      <x:c r="E16" s="16" t="str">
        <x:v>S3总线：后陡门升级为农产品交流集散中心，重点从“自己卖货”变为帮助各地产区建立产品、渠道和能力。</x:v>
      </x:c>
      <x:c r="F16" s="16" t="str">
        <x:v>—</x:v>
      </x:c>
      <x:c r="G16" s="16" t="str">
        <x:v>—</x:v>
      </x:c>
      <x:c r="H16" s="16" t="str"/>
      <x:c r="I16" s="16" t="str">
        <x:v>后陡门/东北/青海囊谦/西双版纳等</x:v>
      </x:c>
      <x:c r="J16" s="16" t="str">
        <x:v>中</x:v>
      </x:c>
      <x:c r="K16" s="16" t="str">
        <x:v>https://pages.iqiyi.com/p/zy/zhongdiba3.html</x:v>
      </x:c>
    </x:row>
    <x:row r="17">
      <x:c r="A17" s="16" t="str">
        <x:v>种地吧S3</x:v>
      </x:c>
      <x:c r="B17" s="16" t="n">
        <x:v>16</x:v>
      </x:c>
      <x:c r="C17" s="16" t="str">
        <x:v>咖啡线、玫瑰/泥田等多项目推进</x:v>
      </x:c>
      <x:c r="D17" s="16" t="str">
        <x:v>当地农户/新农人/技术人员/来访嘉宾（视当期）</x:v>
      </x:c>
      <x:c r="E17" s="16" t="str">
        <x:v>S3总线：后陡门升级为农产品交流集散中心，重点从“自己卖货”变为帮助各地产区建立产品、渠道和能力。</x:v>
      </x:c>
      <x:c r="F17" s="16" t="str">
        <x:v>—</x:v>
      </x:c>
      <x:c r="G17" s="16" t="str">
        <x:v>—</x:v>
      </x:c>
      <x:c r="H17" s="16" t="str"/>
      <x:c r="I17" s="16" t="str">
        <x:v>后陡门/东北/青海囊谦/西双版纳等</x:v>
      </x:c>
      <x:c r="J17" s="16" t="str">
        <x:v>中</x:v>
      </x:c>
      <x:c r="K17" s="16" t="str">
        <x:v>https://pages.iqiyi.com/p/zy/zhongdiba3.html</x:v>
      </x:c>
    </x:row>
    <x:row r="18">
      <x:c r="A18" s="16" t="str">
        <x:v>种地吧S3</x:v>
      </x:c>
      <x:c r="B18" s="16" t="n">
        <x:v>17</x:v>
      </x:c>
      <x:c r="C18" s="16" t="str">
        <x:v>玫瑰酪等产品研发；泥田劳动</x:v>
      </x:c>
      <x:c r="D18" s="16" t="str">
        <x:v>当地农户/新农人/技术人员/来访嘉宾（视当期）</x:v>
      </x:c>
      <x:c r="E18" s="16" t="str">
        <x:v>S3总线：后陡门升级为农产品交流集散中心，重点从“自己卖货”变为帮助各地产区建立产品、渠道和能力。</x:v>
      </x:c>
      <x:c r="F18" s="16" t="str">
        <x:v>—</x:v>
      </x:c>
      <x:c r="G18" s="16" t="str">
        <x:v>—</x:v>
      </x:c>
      <x:c r="H18" s="16" t="str"/>
      <x:c r="I18" s="16" t="str">
        <x:v>后陡门/东北/青海囊谦/西双版纳等</x:v>
      </x:c>
      <x:c r="J18" s="16" t="str">
        <x:v>中</x:v>
      </x:c>
      <x:c r="K18" s="16" t="str">
        <x:v>https://pages.iqiyi.com/p/zy/zhongdiba3.html</x:v>
      </x:c>
    </x:row>
    <x:row r="19">
      <x:c r="A19" s="16" t="str">
        <x:v>种地吧S3</x:v>
      </x:c>
      <x:c r="B19" s="16" t="n">
        <x:v>18</x:v>
      </x:c>
      <x:c r="C19" s="16" t="str">
        <x:v>蚕宝宝落户后陡门，蚕桑新项目开启</x:v>
      </x:c>
      <x:c r="D19" s="16" t="str">
        <x:v>当地农户/新农人/技术人员/来访嘉宾（视当期）</x:v>
      </x:c>
      <x:c r="E19" s="16" t="str">
        <x:v>S3总线：后陡门升级为农产品交流集散中心，重点从“自己卖货”变为帮助各地产区建立产品、渠道和能力。</x:v>
      </x:c>
      <x:c r="F19" s="16" t="str">
        <x:v>—</x:v>
      </x:c>
      <x:c r="G19" s="16" t="str">
        <x:v>—</x:v>
      </x:c>
      <x:c r="H19" s="16" t="str"/>
      <x:c r="I19" s="16" t="str">
        <x:v>后陡门/东北/青海囊谦/西双版纳等</x:v>
      </x:c>
      <x:c r="J19" s="16" t="str">
        <x:v>中</x:v>
      </x:c>
      <x:c r="K19" s="16" t="str">
        <x:v>https://pages.iqiyi.com/p/zy/zhongdiba3.html</x:v>
      </x:c>
    </x:row>
    <x:row r="20">
      <x:c r="A20" s="16" t="str">
        <x:v>种地吧S3</x:v>
      </x:c>
      <x:c r="B20" s="16" t="n">
        <x:v>19</x:v>
      </x:c>
      <x:c r="C20" s="16" t="str">
        <x:v>爱侬研讨会，木兰校长等新农人/乡村代表分享</x:v>
      </x:c>
      <x:c r="D20" s="16" t="str">
        <x:v>木兰校长、各地新农人代表</x:v>
      </x:c>
      <x:c r="E20" s="16" t="str">
        <x:v>S3总线：后陡门升级为农产品交流集散中心，重点从“自己卖货”变为帮助各地产区建立产品、渠道和能力。</x:v>
      </x:c>
      <x:c r="F20" s="30" t="str">
        <x:v>爱侬研讨会邀请木兰校长等农人/乡村代表交流，建立新农人传播与合作网络。</x:v>
      </x:c>
      <x:c r="G20" s="30" t="str">
        <x:v>平台助农/新农人网络</x:v>
      </x:c>
      <x:c r="H20" s="30" t="str">
        <x:v>39-40期这些伙伴回到麦田音乐会和直播间。</x:v>
      </x:c>
      <x:c r="I20" s="16" t="str">
        <x:v>后陡门/东北/青海囊谦/西双版纳等</x:v>
      </x:c>
      <x:c r="J20" s="16" t="str">
        <x:v>高</x:v>
      </x:c>
      <x:c r="K20" s="16" t="str">
        <x:v>https://pages.iqiyi.com/p/zy/zhongdiba3.html</x:v>
      </x:c>
    </x:row>
    <x:row r="21">
      <x:c r="A21" s="16" t="str">
        <x:v>种地吧S3</x:v>
      </x:c>
      <x:c r="B21" s="16" t="n">
        <x:v>20</x:v>
      </x:c>
      <x:c r="C21" s="16" t="str">
        <x:v>小学生养蚕/农业教育；后陡门生产继续</x:v>
      </x:c>
      <x:c r="D21" s="16" t="str">
        <x:v>当地农户/新农人/技术人员/来访嘉宾（视当期）</x:v>
      </x:c>
      <x:c r="E21" s="16" t="str">
        <x:v>S3总线：后陡门升级为农产品交流集散中心，重点从“自己卖货”变为帮助各地产区建立产品、渠道和能力。</x:v>
      </x:c>
      <x:c r="F21" s="16" t="str">
        <x:v>—</x:v>
      </x:c>
      <x:c r="G21" s="16" t="str">
        <x:v>—</x:v>
      </x:c>
      <x:c r="H21" s="16" t="str"/>
      <x:c r="I21" s="16" t="str">
        <x:v>后陡门/东北/青海囊谦/西双版纳等</x:v>
      </x:c>
      <x:c r="J21" s="16" t="str">
        <x:v>中</x:v>
      </x:c>
      <x:c r="K21" s="16" t="str">
        <x:v>https://pages.iqiyi.com/p/zy/zhongdiba3.html</x:v>
      </x:c>
    </x:row>
    <x:row r="22">
      <x:c r="A22" s="16" t="str">
        <x:v>种地吧S3</x:v>
      </x:c>
      <x:c r="B22" s="16" t="n">
        <x:v>21</x:v>
      </x:c>
      <x:c r="C22" s="16" t="str">
        <x:v>妈妈团到访，家庭线与农场劳动结合</x:v>
      </x:c>
      <x:c r="D22" s="16" t="str">
        <x:v>当地农户/新农人/技术人员/来访嘉宾（视当期）</x:v>
      </x:c>
      <x:c r="E22" s="16" t="str">
        <x:v>S3总线：后陡门升级为农产品交流集散中心，重点从“自己卖货”变为帮助各地产区建立产品、渠道和能力。</x:v>
      </x:c>
      <x:c r="F22" s="16" t="str">
        <x:v>—</x:v>
      </x:c>
      <x:c r="G22" s="16" t="str">
        <x:v>—</x:v>
      </x:c>
      <x:c r="H22" s="16" t="str"/>
      <x:c r="I22" s="16" t="str">
        <x:v>后陡门/东北/青海囊谦/西双版纳等</x:v>
      </x:c>
      <x:c r="J22" s="16" t="str">
        <x:v>中</x:v>
      </x:c>
      <x:c r="K22" s="16" t="str">
        <x:v>https://pages.iqiyi.com/p/zy/zhongdiba3.html</x:v>
      </x:c>
    </x:row>
    <x:row r="23">
      <x:c r="A23" s="16" t="str">
        <x:v>种地吧S3</x:v>
      </x:c>
      <x:c r="B23" s="16" t="n">
        <x:v>22</x:v>
      </x:c>
      <x:c r="C23" s="16" t="str">
        <x:v>联合高校学子插秧，农业实践与青年教育</x:v>
      </x:c>
      <x:c r="D23" s="16" t="str">
        <x:v>当地农户/新农人/技术人员/来访嘉宾（视当期）</x:v>
      </x:c>
      <x:c r="E23" s="16" t="str">
        <x:v>S3总线：后陡门升级为农产品交流集散中心，重点从“自己卖货”变为帮助各地产区建立产品、渠道和能力。</x:v>
      </x:c>
      <x:c r="F23" s="30" t="str">
        <x:v>联合高校学生插秧，把农业教育、青年实践与生产连接。</x:v>
      </x:c>
      <x:c r="G23" s="30" t="str">
        <x:v>农业教育</x:v>
      </x:c>
      <x:c r="H23" s="30" t="str">
        <x:v>承接S1高校种地小队。</x:v>
      </x:c>
      <x:c r="I23" s="16" t="str">
        <x:v>后陡门/东北/青海囊谦/西双版纳等</x:v>
      </x:c>
      <x:c r="J23" s="16" t="str">
        <x:v>高</x:v>
      </x:c>
      <x:c r="K23" s="16" t="str">
        <x:v>https://pages.iqiyi.com/p/zy/zhongdiba3.html</x:v>
      </x:c>
    </x:row>
    <x:row r="24">
      <x:c r="A24" s="16" t="str">
        <x:v>种地吧S3</x:v>
      </x:c>
      <x:c r="B24" s="16" t="n">
        <x:v>23</x:v>
      </x:c>
      <x:c r="C24" s="16" t="str">
        <x:v>插秧宴、稻田作业；高校合作延续</x:v>
      </x:c>
      <x:c r="D24" s="16" t="str">
        <x:v>当地农户/新农人/技术人员/来访嘉宾（视当期）</x:v>
      </x:c>
      <x:c r="E24" s="16" t="str">
        <x:v>S3总线：后陡门升级为农产品交流集散中心，重点从“自己卖货”变为帮助各地产区建立产品、渠道和能力。</x:v>
      </x:c>
      <x:c r="F24" s="16" t="str">
        <x:v>—</x:v>
      </x:c>
      <x:c r="G24" s="16" t="str">
        <x:v>—</x:v>
      </x:c>
      <x:c r="H24" s="16" t="str"/>
      <x:c r="I24" s="16" t="str">
        <x:v>后陡门/东北/青海囊谦/西双版纳等</x:v>
      </x:c>
      <x:c r="J24" s="16" t="str">
        <x:v>中</x:v>
      </x:c>
      <x:c r="K24" s="16" t="str">
        <x:v>https://pages.iqiyi.com/p/zy/zhongdiba3.html</x:v>
      </x:c>
    </x:row>
    <x:row r="25">
      <x:c r="A25" s="16" t="str">
        <x:v>种地吧S3</x:v>
      </x:c>
      <x:c r="B25" s="16" t="n">
        <x:v>24</x:v>
      </x:c>
      <x:c r="C25" s="16" t="str">
        <x:v>薄荷等水培作物尝试菜市场寄卖</x:v>
      </x:c>
      <x:c r="D25" s="16" t="str">
        <x:v>当地农户/新农人/技术人员/来访嘉宾（视当期）</x:v>
      </x:c>
      <x:c r="E25" s="16" t="str">
        <x:v>S3总线：后陡门升级为农产品交流集散中心，重点从“自己卖货”变为帮助各地产区建立产品、渠道和能力。</x:v>
      </x:c>
      <x:c r="F25" s="30" t="str">
        <x:v>薄荷等产品进入菜市场寄卖，继续测试真实渠道。</x:v>
      </x:c>
      <x:c r="G25" s="30" t="str">
        <x:v>渠道测试</x:v>
      </x:c>
      <x:c r="H25" s="30" t="str">
        <x:v>强化“产品必须进入市场”而非只在节目里展示。</x:v>
      </x:c>
      <x:c r="I25" s="16" t="str">
        <x:v>后陡门/东北/青海囊谦/西双版纳等</x:v>
      </x:c>
      <x:c r="J25" s="16" t="str">
        <x:v>高</x:v>
      </x:c>
      <x:c r="K25" s="16" t="str">
        <x:v>https://pages.iqiyi.com/p/zy/zhongdiba3.html</x:v>
      </x:c>
    </x:row>
    <x:row r="26">
      <x:c r="A26" s="16" t="str">
        <x:v>种地吧S3</x:v>
      </x:c>
      <x:c r="B26" s="16" t="n">
        <x:v>25</x:v>
      </x:c>
      <x:c r="C26" s="16" t="str">
        <x:v>后陡门生物图鉴/生态管理；生产维护</x:v>
      </x:c>
      <x:c r="D26" s="16" t="str">
        <x:v>当地农户/新农人/技术人员/来访嘉宾（视当期）</x:v>
      </x:c>
      <x:c r="E26" s="16" t="str">
        <x:v>S3总线：后陡门升级为农产品交流集散中心，重点从“自己卖货”变为帮助各地产区建立产品、渠道和能力。</x:v>
      </x:c>
      <x:c r="F26" s="16" t="str">
        <x:v>—</x:v>
      </x:c>
      <x:c r="G26" s="16" t="str">
        <x:v>—</x:v>
      </x:c>
      <x:c r="H26" s="16" t="str"/>
      <x:c r="I26" s="16" t="str">
        <x:v>后陡门/东北/青海囊谦/西双版纳等</x:v>
      </x:c>
      <x:c r="J26" s="16" t="str">
        <x:v>中</x:v>
      </x:c>
      <x:c r="K26" s="16" t="str">
        <x:v>https://pages.iqiyi.com/p/zy/zhongdiba3.html</x:v>
      </x:c>
    </x:row>
    <x:row r="27">
      <x:c r="A27" s="16" t="str">
        <x:v>种地吧S3</x:v>
      </x:c>
      <x:c r="B27" s="16" t="n">
        <x:v>26</x:v>
      </x:c>
      <x:c r="C27" s="16" t="str">
        <x:v>拍第三年工装照；公司/品牌阶段性整理</x:v>
      </x:c>
      <x:c r="D27" s="16" t="str">
        <x:v>当地农户/新农人/技术人员/来访嘉宾（视当期）</x:v>
      </x:c>
      <x:c r="E27" s="16" t="str">
        <x:v>S3总线：后陡门升级为农产品交流集散中心，重点从“自己卖货”变为帮助各地产区建立产品、渠道和能力。</x:v>
      </x:c>
      <x:c r="F27" s="16" t="str">
        <x:v>—</x:v>
      </x:c>
      <x:c r="G27" s="16" t="str">
        <x:v>—</x:v>
      </x:c>
      <x:c r="H27" s="16" t="str"/>
      <x:c r="I27" s="16" t="str">
        <x:v>后陡门/东北/青海囊谦/西双版纳等</x:v>
      </x:c>
      <x:c r="J27" s="16" t="str">
        <x:v>中</x:v>
      </x:c>
      <x:c r="K27" s="16" t="str">
        <x:v>https://pages.iqiyi.com/p/zy/zhongdiba3.html</x:v>
      </x:c>
    </x:row>
    <x:row r="28">
      <x:c r="A28" s="16" t="str">
        <x:v>种地吧S3</x:v>
      </x:c>
      <x:c r="B28" s="16" t="n">
        <x:v>27</x:v>
      </x:c>
      <x:c r="C28" s="16" t="str">
        <x:v>夜观/农场生态与项目收尾</x:v>
      </x:c>
      <x:c r="D28" s="16" t="str">
        <x:v>当地农户/新农人/技术人员/来访嘉宾（视当期）</x:v>
      </x:c>
      <x:c r="E28" s="16" t="str">
        <x:v>S3总线：后陡门升级为农产品交流集散中心，重点从“自己卖货”变为帮助各地产区建立产品、渠道和能力。</x:v>
      </x:c>
      <x:c r="F28" s="16" t="str">
        <x:v>—</x:v>
      </x:c>
      <x:c r="G28" s="16" t="str">
        <x:v>—</x:v>
      </x:c>
      <x:c r="H28" s="16" t="str"/>
      <x:c r="I28" s="16" t="str">
        <x:v>后陡门/东北/青海囊谦/西双版纳等</x:v>
      </x:c>
      <x:c r="J28" s="16" t="str">
        <x:v>中</x:v>
      </x:c>
      <x:c r="K28" s="16" t="str">
        <x:v>https://pages.iqiyi.com/p/zy/zhongdiba3.html</x:v>
      </x:c>
    </x:row>
    <x:row r="29">
      <x:c r="A29" s="16" t="str">
        <x:v>种地吧S3</x:v>
      </x:c>
      <x:c r="B29" s="16" t="n">
        <x:v>28</x:v>
      </x:c>
      <x:c r="C29" s="16" t="str">
        <x:v>外出助农/产地合作持续推进</x:v>
      </x:c>
      <x:c r="D29" s="16" t="str">
        <x:v>当地农户/新农人/技术人员/来访嘉宾（视当期）</x:v>
      </x:c>
      <x:c r="E29" s="16" t="str">
        <x:v>S3总线：后陡门升级为农产品交流集散中心，重点从“自己卖货”变为帮助各地产区建立产品、渠道和能力。</x:v>
      </x:c>
      <x:c r="F29" s="16" t="str">
        <x:v>—</x:v>
      </x:c>
      <x:c r="G29" s="16" t="str">
        <x:v>—</x:v>
      </x:c>
      <x:c r="H29" s="16" t="str"/>
      <x:c r="I29" s="16" t="str">
        <x:v>后陡门/东北/青海囊谦/西双版纳等</x:v>
      </x:c>
      <x:c r="J29" s="16" t="str">
        <x:v>中</x:v>
      </x:c>
      <x:c r="K29" s="16" t="str">
        <x:v>https://pages.iqiyi.com/p/zy/zhongdiba3.html</x:v>
      </x:c>
    </x:row>
    <x:row r="30">
      <x:c r="A30" s="16" t="str">
        <x:v>种地吧S3</x:v>
      </x:c>
      <x:c r="B30" s="16" t="n">
        <x:v>29</x:v>
      </x:c>
      <x:c r="C30" s="16" t="str">
        <x:v>多地农产品与新农人合作进入回收/总结阶段</x:v>
      </x:c>
      <x:c r="D30" s="16" t="str">
        <x:v>当地农户/新农人/技术人员/来访嘉宾（视当期）</x:v>
      </x:c>
      <x:c r="E30" s="16" t="str">
        <x:v>S3总线：后陡门升级为农产品交流集散中心，重点从“自己卖货”变为帮助各地产区建立产品、渠道和能力。</x:v>
      </x:c>
      <x:c r="F30" s="16" t="str">
        <x:v>—</x:v>
      </x:c>
      <x:c r="G30" s="16" t="str">
        <x:v>—</x:v>
      </x:c>
      <x:c r="H30" s="16" t="str"/>
      <x:c r="I30" s="16" t="str">
        <x:v>后陡门/东北/青海囊谦/西双版纳等</x:v>
      </x:c>
      <x:c r="J30" s="16" t="str">
        <x:v>中</x:v>
      </x:c>
      <x:c r="K30" s="16" t="str">
        <x:v>https://pages.iqiyi.com/p/zy/zhongdiba3.html</x:v>
      </x:c>
    </x:row>
    <x:row r="31">
      <x:c r="A31" s="16" t="str">
        <x:v>种地吧S3</x:v>
      </x:c>
      <x:c r="B31" s="16" t="n">
        <x:v>30</x:v>
      </x:c>
      <x:c r="C31" s="16" t="str">
        <x:v>爱侬直播、乡村合伙人和产品销售继续</x:v>
      </x:c>
      <x:c r="D31" s="16" t="str">
        <x:v>当地农户/新农人/技术人员/来访嘉宾（视当期）</x:v>
      </x:c>
      <x:c r="E31" s="16" t="str">
        <x:v>S3总线：后陡门升级为农产品交流集散中心，重点从“自己卖货”变为帮助各地产区建立产品、渠道和能力。</x:v>
      </x:c>
      <x:c r="F31" s="16" t="str">
        <x:v>—</x:v>
      </x:c>
      <x:c r="G31" s="16" t="str">
        <x:v>—</x:v>
      </x:c>
      <x:c r="H31" s="16" t="str"/>
      <x:c r="I31" s="16" t="str">
        <x:v>后陡门/东北/青海囊谦/西双版纳等</x:v>
      </x:c>
      <x:c r="J31" s="16" t="str">
        <x:v>中</x:v>
      </x:c>
      <x:c r="K31" s="16" t="str">
        <x:v>https://pages.iqiyi.com/p/zy/zhongdiba3.html</x:v>
      </x:c>
    </x:row>
    <x:row r="32">
      <x:c r="A32" s="16" t="str">
        <x:v>种地吧S3</x:v>
      </x:c>
      <x:c r="B32" s="16" t="n">
        <x:v>31</x:v>
      </x:c>
      <x:c r="C32" s="16" t="str">
        <x:v>收获/管理后陡门作物，准备音乐会与收官</x:v>
      </x:c>
      <x:c r="D32" s="16" t="str">
        <x:v>当地农户/新农人/技术人员/来访嘉宾（视当期）</x:v>
      </x:c>
      <x:c r="E32" s="16" t="str">
        <x:v>S3总线：后陡门升级为农产品交流集散中心，重点从“自己卖货”变为帮助各地产区建立产品、渠道和能力。</x:v>
      </x:c>
      <x:c r="F32" s="16" t="str">
        <x:v>—</x:v>
      </x:c>
      <x:c r="G32" s="16" t="str">
        <x:v>—</x:v>
      </x:c>
      <x:c r="H32" s="16" t="str"/>
      <x:c r="I32" s="16" t="str">
        <x:v>后陡门/东北/青海囊谦/西双版纳等</x:v>
      </x:c>
      <x:c r="J32" s="16" t="str">
        <x:v>中</x:v>
      </x:c>
      <x:c r="K32" s="16" t="str">
        <x:v>https://pages.iqiyi.com/p/zy/zhongdiba3.html</x:v>
      </x:c>
    </x:row>
    <x:row r="33">
      <x:c r="A33" s="16" t="str">
        <x:v>种地吧S3</x:v>
      </x:c>
      <x:c r="B33" s="16" t="n">
        <x:v>32</x:v>
      </x:c>
      <x:c r="C33" s="16" t="str">
        <x:v>农产品集散与合作成果集中呈现</x:v>
      </x:c>
      <x:c r="D33" s="16" t="str">
        <x:v>当地农户/新农人/技术人员/来访嘉宾（视当期）</x:v>
      </x:c>
      <x:c r="E33" s="16" t="str">
        <x:v>S3总线：后陡门升级为农产品交流集散中心，重点从“自己卖货”变为帮助各地产区建立产品、渠道和能力。</x:v>
      </x:c>
      <x:c r="F33" s="16" t="str">
        <x:v>—</x:v>
      </x:c>
      <x:c r="G33" s="16" t="str">
        <x:v>—</x:v>
      </x:c>
      <x:c r="H33" s="16" t="str"/>
      <x:c r="I33" s="16" t="str">
        <x:v>后陡门/东北/青海囊谦/西双版纳等</x:v>
      </x:c>
      <x:c r="J33" s="16" t="str">
        <x:v>中</x:v>
      </x:c>
      <x:c r="K33" s="16" t="str">
        <x:v>https://pages.iqiyi.com/p/zy/zhongdiba3.html</x:v>
      </x:c>
    </x:row>
    <x:row r="34">
      <x:c r="A34" s="16" t="str">
        <x:v>种地吧S3</x:v>
      </x:c>
      <x:c r="B34" s="16" t="n">
        <x:v>33</x:v>
      </x:c>
      <x:c r="C34" s="16" t="str">
        <x:v>返场嘉宾参与劳动；农场项目收尾</x:v>
      </x:c>
      <x:c r="D34" s="16" t="str">
        <x:v>当地农户/新农人/技术人员/来访嘉宾（视当期）</x:v>
      </x:c>
      <x:c r="E34" s="16" t="str">
        <x:v>S3总线：后陡门升级为农产品交流集散中心，重点从“自己卖货”变为帮助各地产区建立产品、渠道和能力。</x:v>
      </x:c>
      <x:c r="F34" s="16" t="str">
        <x:v>—</x:v>
      </x:c>
      <x:c r="G34" s="16" t="str">
        <x:v>—</x:v>
      </x:c>
      <x:c r="H34" s="16" t="str"/>
      <x:c r="I34" s="16" t="str">
        <x:v>后陡门/东北/青海囊谦/西双版纳等</x:v>
      </x:c>
      <x:c r="J34" s="16" t="str">
        <x:v>中</x:v>
      </x:c>
      <x:c r="K34" s="16" t="str">
        <x:v>https://pages.iqiyi.com/p/zy/zhongdiba3.html</x:v>
      </x:c>
    </x:row>
    <x:row r="35">
      <x:c r="A35" s="16" t="str">
        <x:v>种地吧S3</x:v>
      </x:c>
      <x:c r="B35" s="16" t="n">
        <x:v>34</x:v>
      </x:c>
      <x:c r="C35" s="16" t="str">
        <x:v>后陡门生态/池塘/作物维护并回顾年度合作</x:v>
      </x:c>
      <x:c r="D35" s="16" t="str">
        <x:v>当地农户/新农人/技术人员/来访嘉宾（视当期）</x:v>
      </x:c>
      <x:c r="E35" s="16" t="str">
        <x:v>S3总线：后陡门升级为农产品交流集散中心，重点从“自己卖货”变为帮助各地产区建立产品、渠道和能力。</x:v>
      </x:c>
      <x:c r="F35" s="16" t="str">
        <x:v>—</x:v>
      </x:c>
      <x:c r="G35" s="16" t="str">
        <x:v>—</x:v>
      </x:c>
      <x:c r="H35" s="16" t="str"/>
      <x:c r="I35" s="16" t="str">
        <x:v>后陡门/东北/青海囊谦/西双版纳等</x:v>
      </x:c>
      <x:c r="J35" s="16" t="str">
        <x:v>中</x:v>
      </x:c>
      <x:c r="K35" s="16" t="str">
        <x:v>https://pages.iqiyi.com/p/zy/zhongdiba3.html</x:v>
      </x:c>
    </x:row>
    <x:row r="36">
      <x:c r="A36" s="16" t="str">
        <x:v>种地吧S3</x:v>
      </x:c>
      <x:c r="B36" s="16" t="n">
        <x:v>35</x:v>
      </x:c>
      <x:c r="C36" s="16" t="str">
        <x:v>继续农业劳动与嘉宾互动</x:v>
      </x:c>
      <x:c r="D36" s="16" t="str">
        <x:v>当地农户/新农人/技术人员/来访嘉宾（视当期）</x:v>
      </x:c>
      <x:c r="E36" s="16" t="str">
        <x:v>S3总线：后陡门升级为农产品交流集散中心，重点从“自己卖货”变为帮助各地产区建立产品、渠道和能力。</x:v>
      </x:c>
      <x:c r="F36" s="16" t="str">
        <x:v>—</x:v>
      </x:c>
      <x:c r="G36" s="16" t="str">
        <x:v>—</x:v>
      </x:c>
      <x:c r="H36" s="16" t="str"/>
      <x:c r="I36" s="16" t="str">
        <x:v>后陡门/东北/青海囊谦/西双版纳等</x:v>
      </x:c>
      <x:c r="J36" s="16" t="str">
        <x:v>中</x:v>
      </x:c>
      <x:c r="K36" s="16" t="str">
        <x:v>https://pages.iqiyi.com/p/zy/zhongdiba3.html</x:v>
      </x:c>
    </x:row>
    <x:row r="37">
      <x:c r="A37" s="16" t="str">
        <x:v>种地吧S3</x:v>
      </x:c>
      <x:c r="B37" s="16" t="n">
        <x:v>36</x:v>
      </x:c>
      <x:c r="C37" s="16" t="str">
        <x:v>外出山林体验与生态农业认知</x:v>
      </x:c>
      <x:c r="D37" s="16" t="str">
        <x:v>当地农户/新农人/技术人员/来访嘉宾（视当期）</x:v>
      </x:c>
      <x:c r="E37" s="16" t="str">
        <x:v>S3总线：后陡门升级为农产品交流集散中心，重点从“自己卖货”变为帮助各地产区建立产品、渠道和能力。</x:v>
      </x:c>
      <x:c r="F37" s="16" t="str">
        <x:v>—</x:v>
      </x:c>
      <x:c r="G37" s="16" t="str">
        <x:v>—</x:v>
      </x:c>
      <x:c r="H37" s="16" t="str"/>
      <x:c r="I37" s="16" t="str">
        <x:v>后陡门/东北/青海囊谦/西双版纳等</x:v>
      </x:c>
      <x:c r="J37" s="16" t="str">
        <x:v>中</x:v>
      </x:c>
      <x:c r="K37" s="16" t="str">
        <x:v>https://pages.iqiyi.com/p/zy/zhongdiba3.html</x:v>
      </x:c>
    </x:row>
    <x:row r="38">
      <x:c r="A38" s="16" t="str">
        <x:v>种地吧S3</x:v>
      </x:c>
      <x:c r="B38" s="16" t="n">
        <x:v>37</x:v>
      </x:c>
      <x:c r="C38" s="16" t="str">
        <x:v>夜观野生动物，理解乡村生态保护</x:v>
      </x:c>
      <x:c r="D38" s="16" t="str">
        <x:v>当地农户/新农人/技术人员/来访嘉宾（视当期）</x:v>
      </x:c>
      <x:c r="E38" s="16" t="str">
        <x:v>S3总线：后陡门升级为农产品交流集散中心，重点从“自己卖货”变为帮助各地产区建立产品、渠道和能力。</x:v>
      </x:c>
      <x:c r="F38" s="16" t="str">
        <x:v>—</x:v>
      </x:c>
      <x:c r="G38" s="16" t="str">
        <x:v>—</x:v>
      </x:c>
      <x:c r="H38" s="16" t="str"/>
      <x:c r="I38" s="16" t="str">
        <x:v>后陡门/东北/青海囊谦/西双版纳等</x:v>
      </x:c>
      <x:c r="J38" s="16" t="str">
        <x:v>中</x:v>
      </x:c>
      <x:c r="K38" s="16" t="str">
        <x:v>https://pages.iqiyi.com/p/zy/zhongdiba3.html</x:v>
      </x:c>
    </x:row>
    <x:row r="39">
      <x:c r="A39" s="16" t="str">
        <x:v>种地吧S3</x:v>
      </x:c>
      <x:c r="B39" s="16" t="n">
        <x:v>38</x:v>
      </x:c>
      <x:c r="C39" s="16" t="str">
        <x:v>小学生养蚕、返场嘉宾；麦田音乐会筹备</x:v>
      </x:c>
      <x:c r="D39" s="16" t="str">
        <x:v>李乃文、唐旭、张子贤等</x:v>
      </x:c>
      <x:c r="E39" s="16" t="str">
        <x:v>S3总线：后陡门升级为农产品交流集散中心，重点从“自己卖货”变为帮助各地产区建立产品、渠道和能力。</x:v>
      </x:c>
      <x:c r="F39" s="16" t="str">
        <x:v>—</x:v>
      </x:c>
      <x:c r="G39" s="16" t="str">
        <x:v>—</x:v>
      </x:c>
      <x:c r="H39" s="16" t="str"/>
      <x:c r="I39" s="16" t="str">
        <x:v>后陡门/东北/青海囊谦/西双版纳等</x:v>
      </x:c>
      <x:c r="J39" s="16" t="str">
        <x:v>中</x:v>
      </x:c>
      <x:c r="K39" s="16" t="str">
        <x:v>https://pages.iqiyi.com/p/zy/zhongdiba3.html</x:v>
      </x:c>
    </x:row>
    <x:row r="40">
      <x:c r="A40" s="16" t="str">
        <x:v>种地吧S3</x:v>
      </x:c>
      <x:c r="B40" s="16" t="n">
        <x:v>39</x:v>
      </x:c>
      <x:c r="C40" s="16" t="str">
        <x:v>第三届麦田音乐会；高叔高婶、木兰校长、贺大姐、仲麟等助农伙伴到场并回顾助农高光</x:v>
      </x:c>
      <x:c r="D40" s="16" t="str">
        <x:v>高叔、高婶、木兰校长、贺大姐、仲麟及演出嘉宾</x:v>
      </x:c>
      <x:c r="E40" s="16" t="str">
        <x:v>S3总线：后陡门升级为农产品交流集散中心，重点从“自己卖货”变为帮助各地产区建立产品、渠道和能力。</x:v>
      </x:c>
      <x:c r="F40" s="30" t="str">
        <x:v>麦田音乐会邀请历次助农伙伴回到后陡门，节目系统回顾全年助农项目。</x:v>
      </x:c>
      <x:c r="G40" s="30" t="str">
        <x:v>关系回访/成果展示</x:v>
      </x:c>
      <x:c r="H40" s="30" t="str">
        <x:v>把助农从单点事件变成长期关系网络。</x:v>
      </x:c>
      <x:c r="I40" s="16" t="str">
        <x:v>后陡门/东北/青海囊谦/西双版纳等</x:v>
      </x:c>
      <x:c r="J40" s="16" t="str">
        <x:v>高</x:v>
      </x:c>
      <x:c r="K40" s="16" t="str">
        <x:v>https://www.iqiyi.com/a_1m6mg3fkjcd.html</x:v>
      </x:c>
    </x:row>
    <x:row r="41">
      <x:c r="A41" s="16" t="str">
        <x:v>种地吧S3</x:v>
      </x:c>
      <x:c r="B41" s="16" t="n">
        <x:v>40</x:v>
      </x:c>
      <x:c r="C41" s="16" t="str">
        <x:v>妈妈团演出；杀青日直播培训，高叔高婶、木兰校长首次带货，十个勤天现场教学</x:v>
      </x:c>
      <x:c r="D41" s="16" t="str">
        <x:v>高叔、高婶、木兰校长、李乃文等</x:v>
      </x:c>
      <x:c r="E41" s="16" t="str">
        <x:v>S3总线：后陡门升级为农产品交流集散中心，重点从“自己卖货”变为帮助各地产区建立产品、渠道和能力。</x:v>
      </x:c>
      <x:c r="F41" s="30" t="str">
        <x:v>高叔、高婶、木兰校长首次在爱侬直播间带货，十个勤天现场教授直播要点。</x:v>
      </x:c>
      <x:c r="G41" s="30" t="str">
        <x:v>能力赋能/直播培训</x:v>
      </x:c>
      <x:c r="H41" s="30" t="str">
        <x:v>比“替农户卖货”更进一步：让合作伙伴自己掌握销售能力。</x:v>
      </x:c>
      <x:c r="I41" s="16" t="str">
        <x:v>后陡门/东北/青海囊谦/西双版纳等</x:v>
      </x:c>
      <x:c r="J41" s="16" t="str">
        <x:v>高</x:v>
      </x:c>
      <x:c r="K41" s="16" t="str">
        <x:v>https://www.iqiyi.com/a_1m6mg3fkjcd.html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45" hidden="0" customWidth="1"/>
    <x:col min="4" max="4" width="28" hidden="0" customWidth="1"/>
    <x:col min="5" max="5" width="28" hidden="0" customWidth="1"/>
    <x:col min="6" max="6" width="42" hidden="0" customWidth="1"/>
    <x:col min="7" max="7" width="16" hidden="0" customWidth="1"/>
    <x:col min="8" max="8" width="42" hidden="0" customWidth="1"/>
    <x:col min="9" max="9" width="20" hidden="0" customWidth="1"/>
    <x:col min="10" max="10" width="10" hidden="0" customWidth="1"/>
    <x:col min="11" max="11" width="45" hidden="0" customWidth="1"/>
  </x:cols>
  <x:sheetData>
    <x:row r="1">
      <x:c r="A1" s="25" t="str">
        <x:v>节目/季</x:v>
      </x:c>
      <x:c r="B1" s="25" t="str">
        <x:v>期数</x:v>
      </x:c>
      <x:c r="C1" s="25" t="str">
        <x:v>主要事件</x:v>
      </x:c>
      <x:c r="D1" s="25" t="str">
        <x:v>十个勤天外重要人物</x:v>
      </x:c>
      <x:c r="E1" s="25" t="str">
        <x:v>故事线</x:v>
      </x:c>
      <x:c r="F1" s="25" t="str">
        <x:v>助农/惠农事件</x:v>
      </x:c>
      <x:c r="G1" s="25" t="str">
        <x:v>助农类型</x:v>
      </x:c>
      <x:c r="H1" s="25" t="str">
        <x:v>跨期/跨季串联</x:v>
      </x:c>
      <x:c r="I1" s="25" t="str">
        <x:v>地点</x:v>
      </x:c>
      <x:c r="J1" s="25" t="str">
        <x:v>置信度</x:v>
      </x:c>
      <x:c r="K1" s="25" t="str">
        <x:v>来源</x:v>
      </x:c>
    </x:row>
    <x:row r="2">
      <x:c r="A2" s="16" t="str">
        <x:v>种地吧S4（截至2026-08-28）</x:v>
      </x:c>
      <x:c r="B2" s="16" t="n">
        <x:v>1</x:v>
      </x:c>
      <x:c r="C2" s="16" t="str">
        <x:v>全员进入西藏墨脱，砍香蕉并深入特色产区</x:v>
      </x:c>
      <x:c r="D2" s="16" t="str">
        <x:v>当地农户/新农人/技术人员/来访嘉宾（视当期）</x:v>
      </x:c>
      <x:c r="E2" s="16" t="str">
        <x:v>S4总线：十个勤天主动深入特色农业产区，以真实劳动理解问题，再尝试产品、渠道、品牌和长期合作方案。</x:v>
      </x:c>
      <x:c r="F2" s="30" t="str">
        <x:v>进入墨脱不是单纯旅行，而是以“为农产好物寻出路”为任务，先劳动再看产业。</x:v>
      </x:c>
      <x:c r="G2" s="30" t="str">
        <x:v>产地调研/劳动助农</x:v>
      </x:c>
      <x:c r="H2" s="30" t="str">
        <x:v>2-6期完成从调研、石斛实践到推介会。</x:v>
      </x:c>
      <x:c r="I2" s="16" t="str">
        <x:v>墨脱/新疆沙漠产区/后陡门/云南西双版纳等</x:v>
      </x:c>
      <x:c r="J2" s="16" t="str">
        <x:v>高</x:v>
      </x:c>
      <x:c r="K2" s="16" t="str">
        <x:v>https://www.tvmao.com/tvcolumn/J2RiY2Js/section/37564</x:v>
      </x:c>
    </x:row>
    <x:row r="3">
      <x:c r="A3" s="16" t="str">
        <x:v>种地吧S4（截至2026-08-28）</x:v>
      </x:c>
      <x:c r="B3" s="16" t="n">
        <x:v>2</x:v>
      </x:c>
      <x:c r="C3" s="16" t="str">
        <x:v>考察墨脱农业、产品与产业现状，讨论如何为农产找出路</x:v>
      </x:c>
      <x:c r="D3" s="16" t="str">
        <x:v>当地农户/新农人/技术人员/来访嘉宾（视当期）</x:v>
      </x:c>
      <x:c r="E3" s="16" t="str">
        <x:v>S4总线：十个勤天主动深入特色农业产区，以真实劳动理解问题，再尝试产品、渠道、品牌和长期合作方案。</x:v>
      </x:c>
      <x:c r="F3" s="30" t="str">
        <x:v>系统考察墨脱农业和特色农产品，讨论市场、加工与销售问题。</x:v>
      </x:c>
      <x:c r="G3" s="30" t="str">
        <x:v>产地诊断</x:v>
      </x:c>
      <x:c r="H3" s="30" t="str">
        <x:v>3-6期转为具体行动。</x:v>
      </x:c>
      <x:c r="I3" s="16" t="str">
        <x:v>墨脱/新疆沙漠产区/后陡门/云南西双版纳等</x:v>
      </x:c>
      <x:c r="J3" s="16" t="str">
        <x:v>高</x:v>
      </x:c>
      <x:c r="K3" s="16" t="str">
        <x:v>https://www.tvmao.com/tvcolumn/J2RiY2Js/section/37564</x:v>
      </x:c>
    </x:row>
    <x:row r="4">
      <x:c r="A4" s="16" t="str">
        <x:v>种地吧S4（截至2026-08-28）</x:v>
      </x:c>
      <x:c r="B4" s="16" t="n">
        <x:v>3</x:v>
      </x:c>
      <x:c r="C4" s="16" t="str">
        <x:v>搬木头、建设石斛种植设施，实践林下经济</x:v>
      </x:c>
      <x:c r="D4" s="16" t="str">
        <x:v>当地农户/新农人/技术人员/来访嘉宾（视当期）</x:v>
      </x:c>
      <x:c r="E4" s="16" t="str">
        <x:v>S4总线：十个勤天主动深入特色农业产区，以真实劳动理解问题，再尝试产品、渠道、品牌和长期合作方案。</x:v>
      </x:c>
      <x:c r="F4" s="30" t="str">
        <x:v>共同建设石斛种植设施，深入林下经济生产环节。</x:v>
      </x:c>
      <x:c r="G4" s="30" t="str">
        <x:v>生产助农/产业学习</x:v>
      </x:c>
      <x:c r="H4" s="30" t="str">
        <x:v>为推介墨脱石斛建立真实生产理解。</x:v>
      </x:c>
      <x:c r="I4" s="16" t="str">
        <x:v>墨脱/新疆沙漠产区/后陡门/云南西双版纳等</x:v>
      </x:c>
      <x:c r="J4" s="16" t="str">
        <x:v>高</x:v>
      </x:c>
      <x:c r="K4" s="16" t="str">
        <x:v>https://www.tvmao.com/tvcolumn/J2RiY2Js/section/37564</x:v>
      </x:c>
    </x:row>
    <x:row r="5">
      <x:c r="A5" s="16" t="str">
        <x:v>种地吧S4（截至2026-08-28）</x:v>
      </x:c>
      <x:c r="B5" s="16" t="n">
        <x:v>4</x:v>
      </x:c>
      <x:c r="C5" s="16" t="str">
        <x:v>与徐艺真、王鹤润等共同种石斛，继续建设</x:v>
      </x:c>
      <x:c r="D5" s="16" t="str">
        <x:v>徐艺真、王鹤润；墨脱当地农户/技术人员</x:v>
      </x:c>
      <x:c r="E5" s="16" t="str">
        <x:v>S4总线：十个勤天主动深入特色农业产区，以真实劳动理解问题，再尝试产品、渠道、品牌和长期合作方案。</x:v>
      </x:c>
      <x:c r="F5" s="16" t="str">
        <x:v>—</x:v>
      </x:c>
      <x:c r="G5" s="16" t="str">
        <x:v>—</x:v>
      </x:c>
      <x:c r="H5" s="16" t="str"/>
      <x:c r="I5" s="16" t="str">
        <x:v>墨脱/新疆沙漠产区/后陡门/云南西双版纳等</x:v>
      </x:c>
      <x:c r="J5" s="16" t="str">
        <x:v>高</x:v>
      </x:c>
      <x:c r="K5" s="16" t="str">
        <x:v>https://www.tvmao.com/tvcolumn/J2RiY2Js/section/37564</x:v>
      </x:c>
    </x:row>
    <x:row r="6">
      <x:c r="A6" s="16" t="str">
        <x:v>种地吧S4（截至2026-08-28）</x:v>
      </x:c>
      <x:c r="B6" s="16" t="n">
        <x:v>5</x:v>
      </x:c>
      <x:c r="C6" s="16" t="str">
        <x:v>丁真、张泉灵到访；后陡门造型种石斛，展示产区文化</x:v>
      </x:c>
      <x:c r="D6" s="16" t="str">
        <x:v>丁真、张泉灵；墨脱农人</x:v>
      </x:c>
      <x:c r="E6" s="16" t="str">
        <x:v>S4总线：十个勤天主动深入特色农业产区，以真实劳动理解问题，再尝试产品、渠道、品牌和长期合作方案。</x:v>
      </x:c>
      <x:c r="F6" s="30" t="str">
        <x:v>通过嘉宾与节目传播扩大墨脱石斛和地方农产曝光。</x:v>
      </x:c>
      <x:c r="G6" s="30" t="str">
        <x:v>产业传播</x:v>
      </x:c>
      <x:c r="H6" s="30" t="str">
        <x:v>6期农产品推介会达成集中展示。</x:v>
      </x:c>
      <x:c r="I6" s="16" t="str">
        <x:v>墨脱/新疆沙漠产区/后陡门/云南西双版纳等</x:v>
      </x:c>
      <x:c r="J6" s="16" t="str">
        <x:v>高</x:v>
      </x:c>
      <x:c r="K6" s="16" t="str">
        <x:v>https://www.tvmao.com/tvcolumn/J2RiY2Js/section/37564</x:v>
      </x:c>
    </x:row>
    <x:row r="7">
      <x:c r="A7" s="16" t="str">
        <x:v>种地吧S4（截至2026-08-28）</x:v>
      </x:c>
      <x:c r="B7" s="16" t="n">
        <x:v>6</x:v>
      </x:c>
      <x:c r="C7" s="16" t="str">
        <x:v>举办墨脱农产品推介会，集中介绍当地农产</x:v>
      </x:c>
      <x:c r="D7" s="16" t="str">
        <x:v>丁真及墨脱农产品相关人员</x:v>
      </x:c>
      <x:c r="E7" s="16" t="str">
        <x:v>S4总线：十个勤天主动深入特色农业产区，以真实劳动理解问题，再尝试产品、渠道、品牌和长期合作方案。</x:v>
      </x:c>
      <x:c r="F7" s="30" t="str">
        <x:v>举办墨脱农产品推介会，把当地特色农产品、农人和潜在渠道放在同一场景。</x:v>
      </x:c>
      <x:c r="G7" s="30" t="str">
        <x:v>推介/渠道助农</x:v>
      </x:c>
      <x:c r="H7" s="30" t="str">
        <x:v>S4助农模式正式确立：产区调研→生产体验→集中推介。</x:v>
      </x:c>
      <x:c r="I7" s="16" t="str">
        <x:v>墨脱/新疆沙漠产区/后陡门/云南西双版纳等</x:v>
      </x:c>
      <x:c r="J7" s="16" t="str">
        <x:v>高</x:v>
      </x:c>
      <x:c r="K7" s="16" t="str">
        <x:v>https://www.tvmao.com/tvcolumn/J2RiY2Js/section/37564</x:v>
      </x:c>
    </x:row>
    <x:row r="8">
      <x:c r="A8" s="16" t="str">
        <x:v>种地吧S4（截至2026-08-28）</x:v>
      </x:c>
      <x:c r="B8" s="16" t="n">
        <x:v>7</x:v>
      </x:c>
      <x:c r="C8" s="16" t="str">
        <x:v>体验香橼茶等加工与当地特色农业</x:v>
      </x:c>
      <x:c r="D8" s="16" t="str">
        <x:v>当地农户/新农人/技术人员/来访嘉宾（视当期）</x:v>
      </x:c>
      <x:c r="E8" s="16" t="str">
        <x:v>S4总线：十个勤天主动深入特色农业产区，以真实劳动理解问题，再尝试产品、渠道、品牌和长期合作方案。</x:v>
      </x:c>
      <x:c r="F8" s="16" t="str">
        <x:v>—</x:v>
      </x:c>
      <x:c r="G8" s="16" t="str">
        <x:v>—</x:v>
      </x:c>
      <x:c r="H8" s="16" t="str"/>
      <x:c r="I8" s="16" t="str">
        <x:v>墨脱/新疆沙漠产区/后陡门/云南西双版纳等</x:v>
      </x:c>
      <x:c r="J8" s="16" t="str">
        <x:v>高</x:v>
      </x:c>
      <x:c r="K8" s="16" t="str">
        <x:v>https://www.tvmao.com/tvcolumn/J2RiY2Js/section/37564</x:v>
      </x:c>
    </x:row>
    <x:row r="9">
      <x:c r="A9" s="16" t="str">
        <x:v>种地吧S4（截至2026-08-28）</x:v>
      </x:c>
      <x:c r="B9" s="16" t="n">
        <x:v>8</x:v>
      </x:c>
      <x:c r="C9" s="16" t="str">
        <x:v>进入新疆/沙漠产区，沙尘暴中接滴灌带</x:v>
      </x:c>
      <x:c r="D9" s="16" t="str">
        <x:v>当地农户/新农人/技术人员/来访嘉宾（视当期）</x:v>
      </x:c>
      <x:c r="E9" s="16" t="str">
        <x:v>S4总线：十个勤天主动深入特色农业产区，以真实劳动理解问题，再尝试产品、渠道、品牌和长期合作方案。</x:v>
      </x:c>
      <x:c r="F9" s="30" t="str">
        <x:v>在沙漠产区铺滴灌、参与基础生产条件建设。</x:v>
      </x:c>
      <x:c r="G9" s="30" t="str">
        <x:v>生态/基建助农</x:v>
      </x:c>
      <x:c r="H9" s="30" t="str">
        <x:v>9-12期继续到红枣产品和直播。</x:v>
      </x:c>
      <x:c r="I9" s="16" t="str">
        <x:v>墨脱/新疆沙漠产区/后陡门/云南西双版纳等</x:v>
      </x:c>
      <x:c r="J9" s="16" t="str">
        <x:v>高</x:v>
      </x:c>
      <x:c r="K9" s="16" t="str">
        <x:v>https://www.tvmao.com/tvcolumn/J2RiY2Js/section/37564</x:v>
      </x:c>
    </x:row>
    <x:row r="10">
      <x:c r="A10" s="16" t="str">
        <x:v>种地吧S4（截至2026-08-28）</x:v>
      </x:c>
      <x:c r="B10" s="16" t="n">
        <x:v>9</x:v>
      </x:c>
      <x:c r="C10" s="16" t="str">
        <x:v>学习推沙、治沙与沙漠农业建设</x:v>
      </x:c>
      <x:c r="D10" s="16" t="str">
        <x:v>当地农户/新农人/技术人员/来访嘉宾（视当期）</x:v>
      </x:c>
      <x:c r="E10" s="16" t="str">
        <x:v>S4总线：十个勤天主动深入特色农业产区，以真实劳动理解问题，再尝试产品、渠道、品牌和长期合作方案。</x:v>
      </x:c>
      <x:c r="F10" s="16" t="str">
        <x:v>—</x:v>
      </x:c>
      <x:c r="G10" s="16" t="str">
        <x:v>—</x:v>
      </x:c>
      <x:c r="H10" s="16" t="str"/>
      <x:c r="I10" s="16" t="str">
        <x:v>墨脱/新疆沙漠产区/后陡门/云南西双版纳等</x:v>
      </x:c>
      <x:c r="J10" s="16" t="str">
        <x:v>高</x:v>
      </x:c>
      <x:c r="K10" s="16" t="str">
        <x:v>https://www.tvmao.com/tvcolumn/J2RiY2Js/section/37564</x:v>
      </x:c>
    </x:row>
    <x:row r="11">
      <x:c r="A11" s="16" t="str">
        <x:v>种地吧S4（截至2026-08-28）</x:v>
      </x:c>
      <x:c r="B11" s="16" t="n">
        <x:v>10</x:v>
      </x:c>
      <x:c r="C11" s="16" t="str">
        <x:v>陈建斌等参与沙漠机械劳动，展示现代农业机械</x:v>
      </x:c>
      <x:c r="D11" s="16" t="str">
        <x:v>陈建斌；当地农机/治沙人员</x:v>
      </x:c>
      <x:c r="E11" s="16" t="str">
        <x:v>S4总线：十个勤天主动深入特色农业产区，以真实劳动理解问题，再尝试产品、渠道、品牌和长期合作方案。</x:v>
      </x:c>
      <x:c r="F11" s="16" t="str">
        <x:v>—</x:v>
      </x:c>
      <x:c r="G11" s="16" t="str">
        <x:v>—</x:v>
      </x:c>
      <x:c r="H11" s="16" t="str"/>
      <x:c r="I11" s="16" t="str">
        <x:v>墨脱/新疆沙漠产区/后陡门/云南西双版纳等</x:v>
      </x:c>
      <x:c r="J11" s="16" t="str">
        <x:v>高</x:v>
      </x:c>
      <x:c r="K11" s="16" t="str">
        <x:v>https://www.tvmao.com/tvcolumn/J2RiY2Js/section/37564</x:v>
      </x:c>
    </x:row>
    <x:row r="12">
      <x:c r="A12" s="16" t="str">
        <x:v>种地吧S4（截至2026-08-28）</x:v>
      </x:c>
      <x:c r="B12" s="16" t="n">
        <x:v>11</x:v>
      </x:c>
      <x:c r="C12" s="16" t="str">
        <x:v>围绕红枣研发果丹皮等产品，探索深加工</x:v>
      </x:c>
      <x:c r="D12" s="16" t="str">
        <x:v>当地农户/新农人/技术人员/来访嘉宾（视当期）</x:v>
      </x:c>
      <x:c r="E12" s="16" t="str">
        <x:v>S4总线：十个勤天主动深入特色农业产区，以真实劳动理解问题，再尝试产品、渠道、品牌和长期合作方案。</x:v>
      </x:c>
      <x:c r="F12" s="30" t="str">
        <x:v>围绕当地红枣研发果丹皮等产品，把原料转向可销售的深加工方案。</x:v>
      </x:c>
      <x:c r="G12" s="30" t="str">
        <x:v>产品研发助农</x:v>
      </x:c>
      <x:c r="H12" s="30" t="str">
        <x:v>12期进入直播准备。</x:v>
      </x:c>
      <x:c r="I12" s="16" t="str">
        <x:v>墨脱/新疆沙漠产区/后陡门/云南西双版纳等</x:v>
      </x:c>
      <x:c r="J12" s="16" t="str">
        <x:v>高</x:v>
      </x:c>
      <x:c r="K12" s="16" t="str">
        <x:v>https://www.tvmao.com/tvcolumn/J2RiY2Js/section/37564</x:v>
      </x:c>
    </x:row>
    <x:row r="13">
      <x:c r="A13" s="16" t="str">
        <x:v>种地吧S4（截至2026-08-28）</x:v>
      </x:c>
      <x:c r="B13" s="16" t="n">
        <x:v>12</x:v>
      </x:c>
      <x:c r="C13" s="16" t="str">
        <x:v>完成苹果树种植并准备红枣直播</x:v>
      </x:c>
      <x:c r="D13" s="16" t="str">
        <x:v>李乃文、唐旭等；当地果农/直播合作人员</x:v>
      </x:c>
      <x:c r="E13" s="16" t="str">
        <x:v>S4总线：十个勤天主动深入特色农业产区，以真实劳动理解问题，再尝试产品、渠道、品牌和长期合作方案。</x:v>
      </x:c>
      <x:c r="F13" s="30" t="str">
        <x:v>准备红枣直播，同时完成果树种植；把产品研发转向真实销售。</x:v>
      </x:c>
      <x:c r="G13" s="30" t="str">
        <x:v>直播助农/产业建设</x:v>
      </x:c>
      <x:c r="H13" s="30" t="str">
        <x:v>承接S3爱侬直播，但更贴近产区单品。</x:v>
      </x:c>
      <x:c r="I13" s="16" t="str">
        <x:v>墨脱/新疆沙漠产区/后陡门/云南西双版纳等</x:v>
      </x:c>
      <x:c r="J13" s="16" t="str">
        <x:v>高</x:v>
      </x:c>
      <x:c r="K13" s="16" t="str">
        <x:v>https://www.tvmao.com/tvcolumn/J2RiY2Js/section/37564</x:v>
      </x:c>
    </x:row>
    <x:row r="14">
      <x:c r="A14" s="16" t="str">
        <x:v>种地吧S4（截至2026-08-28）</x:v>
      </x:c>
      <x:c r="B14" s="16" t="n">
        <x:v>13</x:v>
      </x:c>
      <x:c r="C14" s="16" t="str">
        <x:v>重返藏医学院，接触青稞等高原农产与加工产品</x:v>
      </x:c>
      <x:c r="D14" s="16" t="str">
        <x:v>当地农户/新农人/技术人员/来访嘉宾（视当期）</x:v>
      </x:c>
      <x:c r="E14" s="16" t="str">
        <x:v>S4总线：十个勤天主动深入特色农业产区，以真实劳动理解问题，再尝试产品、渠道、品牌和长期合作方案。</x:v>
      </x:c>
      <x:c r="F14" s="30" t="str">
        <x:v>传播高原青稞等特色农产品及加工形态。</x:v>
      </x:c>
      <x:c r="G14" s="30" t="str">
        <x:v>产业传播</x:v>
      </x:c>
      <x:c r="H14" s="30" t="str">
        <x:v>与墨脱、策勒共同构成高原/边疆产区线。</x:v>
      </x:c>
      <x:c r="I14" s="16" t="str">
        <x:v>墨脱/新疆沙漠产区/后陡门/云南西双版纳等</x:v>
      </x:c>
      <x:c r="J14" s="16" t="str">
        <x:v>高</x:v>
      </x:c>
      <x:c r="K14" s="16" t="str">
        <x:v>https://www.tvmao.com/tvcolumn/J2RiY2Js/section/37564</x:v>
      </x:c>
    </x:row>
    <x:row r="15">
      <x:c r="A15" s="16" t="str">
        <x:v>种地吧S4（截至2026-08-28）</x:v>
      </x:c>
      <x:c r="B15" s="16" t="n">
        <x:v>14</x:v>
      </x:c>
      <x:c r="C15" s="16" t="str">
        <x:v>农大教授帮助规划后陡门大棚；拆除旧作物、为新项目腾空间</x:v>
      </x:c>
      <x:c r="D15" s="16" t="str">
        <x:v>农业大学教授、张绍刚、邓凯、付航等</x:v>
      </x:c>
      <x:c r="E15" s="16" t="str">
        <x:v>S4总线：十个勤天主动深入特色农业产区，以真实劳动理解问题，再尝试产品、渠道、品牌和长期合作方案。</x:v>
      </x:c>
      <x:c r="F15" s="16" t="str">
        <x:v>—</x:v>
      </x:c>
      <x:c r="G15" s="16" t="str">
        <x:v>—</x:v>
      </x:c>
      <x:c r="H15" s="16" t="str"/>
      <x:c r="I15" s="16" t="str">
        <x:v>墨脱/新疆沙漠产区/后陡门/云南西双版纳等</x:v>
      </x:c>
      <x:c r="J15" s="16" t="str">
        <x:v>高</x:v>
      </x:c>
      <x:c r="K15" s="16" t="str">
        <x:v>https://www.tvmao.com/tvcolumn/J2RiY2Js/section/37564</x:v>
      </x:c>
    </x:row>
    <x:row r="16">
      <x:c r="A16" s="16" t="str">
        <x:v>种地吧S4（截至2026-08-28）</x:v>
      </x:c>
      <x:c r="B16" s="16" t="n">
        <x:v>15</x:v>
      </x:c>
      <x:c r="C16" s="16" t="str">
        <x:v>付航等参与；后陡门项目建设与新作物规划</x:v>
      </x:c>
      <x:c r="D16" s="16" t="str">
        <x:v>当地农户/新农人/技术人员/来访嘉宾（视当期）</x:v>
      </x:c>
      <x:c r="E16" s="16" t="str">
        <x:v>S4总线：十个勤天主动深入特色农业产区，以真实劳动理解问题，再尝试产品、渠道、品牌和长期合作方案。</x:v>
      </x:c>
      <x:c r="F16" s="16" t="str">
        <x:v>—</x:v>
      </x:c>
      <x:c r="G16" s="16" t="str">
        <x:v>—</x:v>
      </x:c>
      <x:c r="H16" s="16" t="str"/>
      <x:c r="I16" s="16" t="str">
        <x:v>墨脱/新疆沙漠产区/后陡门/云南西双版纳等</x:v>
      </x:c>
      <x:c r="J16" s="16" t="str">
        <x:v>高</x:v>
      </x:c>
      <x:c r="K16" s="16" t="str">
        <x:v>https://www.tvmao.com/tvcolumn/J2RiY2Js/section/37564</x:v>
      </x:c>
    </x:row>
    <x:row r="17">
      <x:c r="A17" s="16" t="str">
        <x:v>种地吧S4（截至2026-08-28）</x:v>
      </x:c>
      <x:c r="B17" s="16" t="n">
        <x:v>16</x:v>
      </x:c>
      <x:c r="C17" s="16" t="str">
        <x:v>王阳到访；种玫瑰、施有机肥，完成玫瑰园建设</x:v>
      </x:c>
      <x:c r="D17" s="16" t="str">
        <x:v>王阳</x:v>
      </x:c>
      <x:c r="E17" s="16" t="str">
        <x:v>S4总线：十个勤天主动深入特色农业产区，以真实劳动理解问题，再尝试产品、渠道、品牌和长期合作方案。</x:v>
      </x:c>
      <x:c r="F17" s="16" t="str">
        <x:v>—</x:v>
      </x:c>
      <x:c r="G17" s="16" t="str">
        <x:v>—</x:v>
      </x:c>
      <x:c r="H17" s="16" t="str"/>
      <x:c r="I17" s="16" t="str">
        <x:v>墨脱/新疆沙漠产区/后陡门/云南西双版纳等</x:v>
      </x:c>
      <x:c r="J17" s="16" t="str">
        <x:v>高</x:v>
      </x:c>
      <x:c r="K17" s="16" t="str">
        <x:v>https://www.tvmao.com/tvcolumn/J2RiY2Js/section/37564</x:v>
      </x:c>
    </x:row>
    <x:row r="18">
      <x:c r="A18" s="16" t="str">
        <x:v>种地吧S4（截至2026-08-28）</x:v>
      </x:c>
      <x:c r="B18" s="16" t="n">
        <x:v>17</x:v>
      </x:c>
      <x:c r="C18" s="16" t="str">
        <x:v>搭建蘑菇架，刘仁铖带钢管支援</x:v>
      </x:c>
      <x:c r="D18" s="16" t="str">
        <x:v>刘仁铖</x:v>
      </x:c>
      <x:c r="E18" s="16" t="str">
        <x:v>S4总线：十个勤天主动深入特色农业产区，以真实劳动理解问题，再尝试产品、渠道、品牌和长期合作方案。</x:v>
      </x:c>
      <x:c r="F18" s="16" t="str">
        <x:v>—</x:v>
      </x:c>
      <x:c r="G18" s="16" t="str">
        <x:v>—</x:v>
      </x:c>
      <x:c r="H18" s="16" t="str"/>
      <x:c r="I18" s="16" t="str">
        <x:v>墨脱/新疆沙漠产区/后陡门/云南西双版纳等</x:v>
      </x:c>
      <x:c r="J18" s="16" t="str">
        <x:v>高</x:v>
      </x:c>
      <x:c r="K18" s="16" t="str">
        <x:v>https://www.tvmao.com/tvcolumn/J2RiY2Js/section/37564</x:v>
      </x:c>
    </x:row>
    <x:row r="19">
      <x:c r="A19" s="16" t="str">
        <x:v>种地吧S4（截至2026-08-28）</x:v>
      </x:c>
      <x:c r="B19" s="16" t="n">
        <x:v>18</x:v>
      </x:c>
      <x:c r="C19" s="16" t="str">
        <x:v>新老农友再聚后陡门，集中介绍全国各地合作农产品</x:v>
      </x:c>
      <x:c r="D19" s="16" t="str">
        <x:v>当地农户/新农人/技术人员/来访嘉宾（视当期）</x:v>
      </x:c>
      <x:c r="E19" s="16" t="str">
        <x:v>S4总线：十个勤天主动深入特色农业产区，以真实劳动理解问题，再尝试产品、渠道、品牌和长期合作方案。</x:v>
      </x:c>
      <x:c r="F19" s="30" t="str">
        <x:v>新老农友再聚后陡门，集中介绍全国各产区农产品，后陡门继续充当交流节点。</x:v>
      </x:c>
      <x:c r="G19" s="30" t="str">
        <x:v>平台助农</x:v>
      </x:c>
      <x:c r="H19" s="30" t="str">
        <x:v>S3“交流集散中心”功能延续到S4。</x:v>
      </x:c>
      <x:c r="I19" s="16" t="str">
        <x:v>墨脱/新疆沙漠产区/后陡门/云南西双版纳等</x:v>
      </x:c>
      <x:c r="J19" s="16" t="str">
        <x:v>高</x:v>
      </x:c>
      <x:c r="K19" s="16" t="str">
        <x:v>https://www.tvmao.com/tvcolumn/J2RiY2Js/section/37564</x:v>
      </x:c>
    </x:row>
    <x:row r="20">
      <x:c r="A20" s="16" t="str">
        <x:v>种地吧S4（截至2026-08-28）</x:v>
      </x:c>
      <x:c r="B20" s="16" t="n">
        <x:v>19</x:v>
      </x:c>
      <x:c r="C20" s="16" t="str">
        <x:v>蘑菇棚覆膜；颖儿到访并参与劳动</x:v>
      </x:c>
      <x:c r="D20" s="16" t="str">
        <x:v>颖儿</x:v>
      </x:c>
      <x:c r="E20" s="16" t="str">
        <x:v>S4总线：十个勤天主动深入特色农业产区，以真实劳动理解问题，再尝试产品、渠道、品牌和长期合作方案。</x:v>
      </x:c>
      <x:c r="F20" s="16" t="str">
        <x:v>—</x:v>
      </x:c>
      <x:c r="G20" s="16" t="str">
        <x:v>—</x:v>
      </x:c>
      <x:c r="H20" s="16" t="str"/>
      <x:c r="I20" s="16" t="str">
        <x:v>墨脱/新疆沙漠产区/后陡门/云南西双版纳等</x:v>
      </x:c>
      <x:c r="J20" s="16" t="str">
        <x:v>高</x:v>
      </x:c>
      <x:c r="K20" s="16" t="str">
        <x:v>https://www.tvmao.com/tvcolumn/J2RiY2Js/section/37564</x:v>
      </x:c>
    </x:row>
    <x:row r="21">
      <x:c r="A21" s="16" t="str">
        <x:v>种地吧S4（截至2026-08-28）</x:v>
      </x:c>
      <x:c r="B21" s="16" t="n">
        <x:v>20</x:v>
      </x:c>
      <x:c r="C21" s="16" t="str">
        <x:v>抢收油菜籽，后陡门农忙进入收获期</x:v>
      </x:c>
      <x:c r="D21" s="16" t="str">
        <x:v>当地农户/新农人/技术人员/来访嘉宾（视当期）</x:v>
      </x:c>
      <x:c r="E21" s="16" t="str">
        <x:v>S4总线：十个勤天主动深入特色农业产区，以真实劳动理解问题，再尝试产品、渠道、品牌和长期合作方案。</x:v>
      </x:c>
      <x:c r="F21" s="16" t="str">
        <x:v>—</x:v>
      </x:c>
      <x:c r="G21" s="16" t="str">
        <x:v>—</x:v>
      </x:c>
      <x:c r="H21" s="16" t="str"/>
      <x:c r="I21" s="16" t="str">
        <x:v>墨脱/新疆沙漠产区/后陡门/云南西双版纳等</x:v>
      </x:c>
      <x:c r="J21" s="16" t="str">
        <x:v>高</x:v>
      </x:c>
      <x:c r="K21" s="16" t="str">
        <x:v>https://www.tvmao.com/tvcolumn/J2RiY2Js/section/37564</x:v>
      </x:c>
    </x:row>
    <x:row r="22">
      <x:c r="A22" s="16" t="str">
        <x:v>种地吧S4（截至2026-08-28）</x:v>
      </x:c>
      <x:c r="B22" s="16" t="n">
        <x:v>21</x:v>
      </x:c>
      <x:c r="C22" s="16" t="str">
        <x:v>云南/西双版纳学习割胶，体验橡胶产业</x:v>
      </x:c>
      <x:c r="D22" s="16" t="str">
        <x:v>当地农户/新农人/技术人员/来访嘉宾（视当期）</x:v>
      </x:c>
      <x:c r="E22" s="16" t="str">
        <x:v>S4总线：十个勤天主动深入特色农业产区，以真实劳动理解问题，再尝试产品、渠道、品牌和长期合作方案。</x:v>
      </x:c>
      <x:c r="F22" s="30" t="str">
        <x:v>深入云南橡胶产业，亲自学习割胶，理解胶工劳动与产业链。</x:v>
      </x:c>
      <x:c r="G22" s="30" t="str">
        <x:v>劳动助农/产业调研</x:v>
      </x:c>
      <x:c r="H22" s="30" t="str">
        <x:v>30期提出规模化品牌思路。</x:v>
      </x:c>
      <x:c r="I22" s="16" t="str">
        <x:v>墨脱/新疆沙漠产区/后陡门/云南西双版纳等</x:v>
      </x:c>
      <x:c r="J22" s="16" t="str">
        <x:v>高</x:v>
      </x:c>
      <x:c r="K22" s="16" t="str">
        <x:v>https://www.tvmao.com/tvcolumn/J2RiY2Js/section/37564</x:v>
      </x:c>
    </x:row>
    <x:row r="23">
      <x:c r="A23" s="16" t="str">
        <x:v>种地吧S4（截至2026-08-28）</x:v>
      </x:c>
      <x:c r="B23" s="16" t="n">
        <x:v>22</x:v>
      </x:c>
      <x:c r="C23" s="16" t="str">
        <x:v>结束云南考察并回后陡门，鱼塘/蘑菇等项目收尾</x:v>
      </x:c>
      <x:c r="D23" s="16" t="str">
        <x:v>当地农户/新农人/技术人员/来访嘉宾（视当期）</x:v>
      </x:c>
      <x:c r="E23" s="16" t="str">
        <x:v>S4总线：十个勤天主动深入特色农业产区，以真实劳动理解问题，再尝试产品、渠道、品牌和长期合作方案。</x:v>
      </x:c>
      <x:c r="F23" s="16" t="str">
        <x:v>—</x:v>
      </x:c>
      <x:c r="G23" s="16" t="str">
        <x:v>—</x:v>
      </x:c>
      <x:c r="H23" s="16" t="str"/>
      <x:c r="I23" s="16" t="str">
        <x:v>墨脱/新疆沙漠产区/后陡门/云南西双版纳等</x:v>
      </x:c>
      <x:c r="J23" s="16" t="str">
        <x:v>高</x:v>
      </x:c>
      <x:c r="K23" s="16" t="str">
        <x:v>https://www.tvmao.com/tvcolumn/J2RiY2Js/section/37564</x:v>
      </x:c>
    </x:row>
    <x:row r="24">
      <x:c r="A24" s="16" t="str">
        <x:v>种地吧S4（截至2026-08-28）</x:v>
      </x:c>
      <x:c r="B24" s="16" t="n">
        <x:v>23</x:v>
      </x:c>
      <x:c r="C24" s="16" t="str">
        <x:v>阶段性围桌总结，回看各地产区见闻与合作</x:v>
      </x:c>
      <x:c r="D24" s="16" t="str">
        <x:v>当地农户/新农人/技术人员/来访嘉宾（视当期）</x:v>
      </x:c>
      <x:c r="E24" s="16" t="str">
        <x:v>S4总线：十个勤天主动深入特色农业产区，以真实劳动理解问题，再尝试产品、渠道、品牌和长期合作方案。</x:v>
      </x:c>
      <x:c r="F24" s="16" t="str">
        <x:v>—</x:v>
      </x:c>
      <x:c r="G24" s="16" t="str">
        <x:v>—</x:v>
      </x:c>
      <x:c r="H24" s="16" t="str"/>
      <x:c r="I24" s="16" t="str">
        <x:v>墨脱/新疆沙漠产区/后陡门/云南西双版纳等</x:v>
      </x:c>
      <x:c r="J24" s="16" t="str">
        <x:v>高</x:v>
      </x:c>
      <x:c r="K24" s="16" t="str">
        <x:v>https://www.tvmao.com/tvcolumn/J2RiY2Js/section/37564</x:v>
      </x:c>
    </x:row>
    <x:row r="25">
      <x:c r="A25" s="16" t="str">
        <x:v>种地吧S4（截至2026-08-28）</x:v>
      </x:c>
      <x:c r="B25" s="16" t="n">
        <x:v>24</x:v>
      </x:c>
      <x:c r="C25" s="16" t="str">
        <x:v>继续后陡门生产与外部农产品合作推进</x:v>
      </x:c>
      <x:c r="D25" s="16" t="str">
        <x:v>当地农户/新农人/技术人员/来访嘉宾（视当期）</x:v>
      </x:c>
      <x:c r="E25" s="16" t="str">
        <x:v>S4总线：十个勤天主动深入特色农业产区，以真实劳动理解问题，再尝试产品、渠道、品牌和长期合作方案。</x:v>
      </x:c>
      <x:c r="F25" s="16" t="str">
        <x:v>—</x:v>
      </x:c>
      <x:c r="G25" s="16" t="str">
        <x:v>—</x:v>
      </x:c>
      <x:c r="H25" s="16" t="str"/>
      <x:c r="I25" s="16" t="str">
        <x:v>墨脱/新疆沙漠产区/后陡门/云南西双版纳等</x:v>
      </x:c>
      <x:c r="J25" s="16" t="str">
        <x:v>中低</x:v>
      </x:c>
      <x:c r="K25" s="16" t="str">
        <x:v>https://www.tvmao.com/tvcolumn/J2RiY2Js/section/37564</x:v>
      </x:c>
    </x:row>
    <x:row r="26">
      <x:c r="A26" s="16" t="str">
        <x:v>种地吧S4（截至2026-08-28）</x:v>
      </x:c>
      <x:c r="B26" s="16" t="n">
        <x:v>25</x:v>
      </x:c>
      <x:c r="C26" s="16" t="str">
        <x:v>进入云南特色产业考察，衔接水果/橡胶线</x:v>
      </x:c>
      <x:c r="D26" s="16" t="str">
        <x:v>当地农户/新农人/技术人员/来访嘉宾（视当期）</x:v>
      </x:c>
      <x:c r="E26" s="16" t="str">
        <x:v>S4总线：十个勤天主动深入特色农业产区，以真实劳动理解问题，再尝试产品、渠道、品牌和长期合作方案。</x:v>
      </x:c>
      <x:c r="F26" s="16" t="str">
        <x:v>—</x:v>
      </x:c>
      <x:c r="G26" s="16" t="str">
        <x:v>—</x:v>
      </x:c>
      <x:c r="H26" s="16" t="str"/>
      <x:c r="I26" s="16" t="str">
        <x:v>墨脱/新疆沙漠产区/后陡门/云南西双版纳等</x:v>
      </x:c>
      <x:c r="J26" s="16" t="str">
        <x:v>中低</x:v>
      </x:c>
      <x:c r="K26" s="16" t="str">
        <x:v>https://www.tvmao.com/tvcolumn/J2RiY2Js/section/37564</x:v>
      </x:c>
    </x:row>
    <x:row r="27">
      <x:c r="A27" s="16" t="str">
        <x:v>种地吧S4（截至2026-08-28）</x:v>
      </x:c>
      <x:c r="B27" s="16" t="n">
        <x:v>26</x:v>
      </x:c>
      <x:c r="C27" s="16" t="str">
        <x:v>考察热带作物和地方农产，评估渠道与产品可能</x:v>
      </x:c>
      <x:c r="D27" s="16" t="str">
        <x:v>当地农户/新农人/技术人员/来访嘉宾（视当期）</x:v>
      </x:c>
      <x:c r="E27" s="16" t="str">
        <x:v>S4总线：十个勤天主动深入特色农业产区，以真实劳动理解问题，再尝试产品、渠道、品牌和长期合作方案。</x:v>
      </x:c>
      <x:c r="F27" s="16" t="str">
        <x:v>—</x:v>
      </x:c>
      <x:c r="G27" s="16" t="str">
        <x:v>—</x:v>
      </x:c>
      <x:c r="H27" s="16" t="str"/>
      <x:c r="I27" s="16" t="str">
        <x:v>墨脱/新疆沙漠产区/后陡门/云南西双版纳等</x:v>
      </x:c>
      <x:c r="J27" s="16" t="str">
        <x:v>中低</x:v>
      </x:c>
      <x:c r="K27" s="16" t="str">
        <x:v>https://www.tvmao.com/tvcolumn/J2RiY2Js/section/37564</x:v>
      </x:c>
    </x:row>
    <x:row r="28">
      <x:c r="A28" s="16" t="str">
        <x:v>种地吧S4（截至2026-08-28）</x:v>
      </x:c>
      <x:c r="B28" s="16" t="n">
        <x:v>27</x:v>
      </x:c>
      <x:c r="C28" s="16" t="str">
        <x:v>继续云南产区调研，与农户/企业沟通</x:v>
      </x:c>
      <x:c r="D28" s="16" t="str">
        <x:v>当地农户/新农人/技术人员/来访嘉宾（视当期）</x:v>
      </x:c>
      <x:c r="E28" s="16" t="str">
        <x:v>S4总线：十个勤天主动深入特色农业产区，以真实劳动理解问题，再尝试产品、渠道、品牌和长期合作方案。</x:v>
      </x:c>
      <x:c r="F28" s="16" t="str">
        <x:v>—</x:v>
      </x:c>
      <x:c r="G28" s="16" t="str">
        <x:v>—</x:v>
      </x:c>
      <x:c r="H28" s="16" t="str"/>
      <x:c r="I28" s="16" t="str">
        <x:v>墨脱/新疆沙漠产区/后陡门/云南西双版纳等</x:v>
      </x:c>
      <x:c r="J28" s="16" t="str">
        <x:v>中低</x:v>
      </x:c>
      <x:c r="K28" s="16" t="str">
        <x:v>https://www.tvmao.com/tvcolumn/J2RiY2Js/section/37564</x:v>
      </x:c>
    </x:row>
    <x:row r="29">
      <x:c r="A29" s="16" t="str">
        <x:v>种地吧S4（截至2026-08-28）</x:v>
      </x:c>
      <x:c r="B29" s="16" t="n">
        <x:v>28</x:v>
      </x:c>
      <x:c r="C29" s="16" t="str">
        <x:v>回到后陡门前后整理考察结果并推进农业生产</x:v>
      </x:c>
      <x:c r="D29" s="16" t="str">
        <x:v>当地农户/新农人/技术人员/来访嘉宾（视当期）</x:v>
      </x:c>
      <x:c r="E29" s="16" t="str">
        <x:v>S4总线：十个勤天主动深入特色农业产区，以真实劳动理解问题，再尝试产品、渠道、品牌和长期合作方案。</x:v>
      </x:c>
      <x:c r="F29" s="16" t="str">
        <x:v>—</x:v>
      </x:c>
      <x:c r="G29" s="16" t="str">
        <x:v>—</x:v>
      </x:c>
      <x:c r="H29" s="16" t="str"/>
      <x:c r="I29" s="16" t="str">
        <x:v>墨脱/新疆沙漠产区/后陡门/云南西双版纳等</x:v>
      </x:c>
      <x:c r="J29" s="16" t="str">
        <x:v>中低</x:v>
      </x:c>
      <x:c r="K29" s="16" t="str">
        <x:v>https://www.tvmao.com/tvcolumn/J2RiY2Js/section/37564</x:v>
      </x:c>
    </x:row>
    <x:row r="30">
      <x:c r="A30" s="16" t="str">
        <x:v>种地吧S4（截至2026-08-28）</x:v>
      </x:c>
      <x:c r="B30" s="16" t="n">
        <x:v>29</x:v>
      </x:c>
      <x:c r="C30" s="16" t="str">
        <x:v>抢收油菜籽；西双版纳水果受灾、出现极低价芒果等销售危机，讨论对策</x:v>
      </x:c>
      <x:c r="D30" s="16" t="str">
        <x:v>当地农户/新农人/技术人员/来访嘉宾（视当期）</x:v>
      </x:c>
      <x:c r="E30" s="16" t="str">
        <x:v>S4总线：十个勤天主动深入特色农业产区，以真实劳动理解问题，再尝试产品、渠道、品牌和长期合作方案。</x:v>
      </x:c>
      <x:c r="F30" s="30" t="str">
        <x:v>西双版纳水果受灾、芒果价格跌至极低水平，团队与农户/合作方讨论水果危机对策。</x:v>
      </x:c>
      <x:c r="G30" s="30" t="str">
        <x:v>灾后助农/滞销对策</x:v>
      </x:c>
      <x:c r="H30" s="30" t="str">
        <x:v>这是S4最直接的市场危机响应案例之一。</x:v>
      </x:c>
      <x:c r="I30" s="16" t="str">
        <x:v>墨脱/新疆沙漠产区/后陡门/云南西双版纳等</x:v>
      </x:c>
      <x:c r="J30" s="16" t="str">
        <x:v>高</x:v>
      </x:c>
      <x:c r="K30" s="16" t="str">
        <x:v>https://www.iqiyi.com/a_vnn1du4wil.html</x:v>
      </x:c>
    </x:row>
    <x:row r="31">
      <x:c r="A31" s="16" t="str">
        <x:v>种地吧S4（截至2026-08-28）</x:v>
      </x:c>
      <x:c r="B31" s="16" t="n">
        <x:v>30</x:v>
      </x:c>
      <x:c r="C31" s="16" t="str">
        <x:v>夜间学割胶；鹭卓提出打造当地规模化品牌；王勉徐志胜返场</x:v>
      </x:c>
      <x:c r="D31" s="16" t="str">
        <x:v>王勉、徐志胜；橡胶农户/胶工师傅</x:v>
      </x:c>
      <x:c r="E31" s="16" t="str">
        <x:v>S4总线：十个勤天主动深入特色农业产区，以真实劳动理解问题，再尝试产品、渠道、品牌和长期合作方案。</x:v>
      </x:c>
      <x:c r="F31" s="30" t="str">
        <x:v>继续学习割胶，并提出打造当地规模化品牌的想法，把一次性宣传转成品牌方案。</x:v>
      </x:c>
      <x:c r="G31" s="30" t="str">
        <x:v>品牌助农</x:v>
      </x:c>
      <x:c r="H31" s="30" t="str">
        <x:v>体现S4从“带货”转向“品牌/产业解决方案”。</x:v>
      </x:c>
      <x:c r="I31" s="16" t="str">
        <x:v>墨脱/新疆沙漠产区/后陡门/云南西双版纳等</x:v>
      </x:c>
      <x:c r="J31" s="16" t="str">
        <x:v>高</x:v>
      </x:c>
      <x:c r="K31" s="16" t="str">
        <x:v>https://www.iqiyi.com/a_vnn1du4wil.html</x:v>
      </x:c>
    </x:row>
    <x:row r="32">
      <x:c r="A32" s="16" t="str">
        <x:v>种地吧S4（截至2026-08-28）</x:v>
      </x:c>
      <x:c r="B32" s="16" t="n">
        <x:v>31</x:v>
      </x:c>
      <x:c r="C32" s="16" t="str">
        <x:v>云南美食/产区考察收尾；回后陡门摆放蘑菇并给卓沅庆生</x:v>
      </x:c>
      <x:c r="D32" s="16" t="str">
        <x:v>当地农户/新农人/技术人员/来访嘉宾（视当期）</x:v>
      </x:c>
      <x:c r="E32" s="16" t="str">
        <x:v>S4总线：十个勤天主动深入特色农业产区，以真实劳动理解问题，再尝试产品、渠道、品牌和长期合作方案。</x:v>
      </x:c>
      <x:c r="F32" s="16" t="str">
        <x:v>—</x:v>
      </x:c>
      <x:c r="G32" s="16" t="str">
        <x:v>—</x:v>
      </x:c>
      <x:c r="H32" s="16" t="str"/>
      <x:c r="I32" s="16" t="str">
        <x:v>墨脱/新疆沙漠产区/后陡门/云南西双版纳等</x:v>
      </x:c>
      <x:c r="J32" s="16" t="str">
        <x:v>高</x:v>
      </x:c>
      <x:c r="K32" s="16" t="str">
        <x:v>https://www.iqiyi.com/a_vnn1du4wil.html</x:v>
      </x:c>
    </x:row>
    <x:row r="33">
      <x:c r="A33" s="16" t="str">
        <x:v>种地吧S4（截至2026-08-28）</x:v>
      </x:c>
      <x:c r="B33" s="16" t="n">
        <x:v>32</x:v>
      </x:c>
      <x:c r="C33" s="16" t="str">
        <x:v>后陡门科技播种水稻，回顾全年心愿与全国农业实践</x:v>
      </x:c>
      <x:c r="D33" s="16" t="str">
        <x:v>当地农户/新农人/技术人员/来访嘉宾（视当期）</x:v>
      </x:c>
      <x:c r="E33" s="16" t="str">
        <x:v>S4总线：十个勤天主动深入特色农业产区，以真实劳动理解问题，再尝试产品、渠道、品牌和长期合作方案。</x:v>
      </x:c>
      <x:c r="F33" s="16" t="str">
        <x:v>—</x:v>
      </x:c>
      <x:c r="G33" s="16" t="str">
        <x:v>—</x:v>
      </x:c>
      <x:c r="H33" s="16" t="str"/>
      <x:c r="I33" s="16" t="str">
        <x:v>墨脱/新疆沙漠产区/后陡门/云南西双版纳等</x:v>
      </x:c>
      <x:c r="J33" s="16" t="str">
        <x:v>高</x:v>
      </x:c>
      <x:c r="K33" s="16" t="str">
        <x:v>https://www.iqiyi.com/a_vnn1du4wil.html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6" hidden="0" customWidth="1"/>
    <x:col min="4" max="4" width="40" hidden="0" customWidth="1"/>
    <x:col min="5" max="5" width="45" hidden="0" customWidth="1"/>
    <x:col min="6" max="6" width="35" hidden="0" customWidth="1"/>
    <x:col min="7" max="7" width="40" hidden="0" customWidth="1"/>
    <x:col min="8" max="8" width="20" hidden="0" customWidth="1"/>
    <x:col min="9" max="9" width="10" hidden="0" customWidth="1"/>
    <x:col min="10" max="10" width="45" hidden="0" customWidth="1"/>
  </x:cols>
  <x:sheetData>
    <x:row r="1">
      <x:c r="A1" s="25" t="str">
        <x:v>阶段</x:v>
      </x:c>
      <x:c r="B1" s="25" t="str">
        <x:v>节目/期数</x:v>
      </x:c>
      <x:c r="C1" s="25" t="str">
        <x:v>地区/对象</x:v>
      </x:c>
      <x:c r="D1" s="25" t="str">
        <x:v>发现的问题</x:v>
      </x:c>
      <x:c r="E1" s="25" t="str">
        <x:v>实际行动</x:v>
      </x:c>
      <x:c r="F1" s="25" t="str">
        <x:v>产生的价值</x:v>
      </x:c>
      <x:c r="G1" s="25" t="str">
        <x:v>后续串联</x:v>
      </x:c>
      <x:c r="H1" s="25" t="str">
        <x:v>模式升级</x:v>
      </x:c>
      <x:c r="I1" s="25" t="str">
        <x:v>置信度</x:v>
      </x:c>
      <x:c r="J1" s="25" t="str">
        <x:v>来源</x:v>
      </x:c>
    </x:row>
    <x:row r="2">
      <x:c r="A2" s="34" t="str">
        <x:v>0.生产者基础</x:v>
      </x:c>
      <x:c r="B2" s="34" t="str">
        <x:v>种地吧S1 35</x:v>
      </x:c>
      <x:c r="C2" s="34" t="str">
        <x:v>后陡门自产农产品</x:v>
      </x:c>
      <x:c r="D2" s="34" t="str">
        <x:v>有产出后必须面对真实消费者与销售</x:v>
      </x:c>
      <x:c r="E2" s="34" t="str">
        <x:v>举办农夫市集</x:v>
      </x:c>
      <x:c r="F2" s="34" t="str">
        <x:v>获得第一轮真实产销经验</x:v>
      </x:c>
      <x:c r="G2" s="34" t="str">
        <x:v>S2卖生菜/郁金香</x:v>
      </x:c>
      <x:c r="H2" s="34" t="str">
        <x:v>自产直销</x:v>
      </x:c>
      <x:c r="I2" s="32" t="str">
        <x:v>中高</x:v>
      </x:c>
      <x:c r="J2" s="32" t="str">
        <x:v>https://www.tvmao.com/tvcolumn/J2RiY2Js/section/33624</x:v>
      </x:c>
    </x:row>
    <x:row r="3">
      <x:c r="A3" s="34" t="str">
        <x:v>0.生产者基础</x:v>
      </x:c>
      <x:c r="B3" s="34" t="str">
        <x:v>种地吧S1 36</x:v>
      </x:c>
      <x:c r="C3" s="34" t="str">
        <x:v>高校青年</x:v>
      </x:c>
      <x:c r="D3" s="34" t="str">
        <x:v>农业劳动与青年实践脱节</x:v>
      </x:c>
      <x:c r="E3" s="34" t="str">
        <x:v>高校种地小队进入少年之家</x:v>
      </x:c>
      <x:c r="F3" s="34" t="str">
        <x:v>农业经验向外传播</x:v>
      </x:c>
      <x:c r="G3" s="34" t="str">
        <x:v>S3联合高校插秧、S4农大教授参与</x:v>
      </x:c>
      <x:c r="H3" s="34" t="str">
        <x:v>农业教育</x:v>
      </x:c>
      <x:c r="I3" s="32" t="str">
        <x:v>中高</x:v>
      </x:c>
      <x:c r="J3" s="32" t="str">
        <x:v>https://www.tvmao.com/tvcolumn/J2RiY2Js/section/33624</x:v>
      </x:c>
    </x:row>
    <x:row r="4">
      <x:c r="A4" s="34" t="str">
        <x:v>1.看见产区</x:v>
      </x:c>
      <x:c r="B4" s="34" t="str">
        <x:v>你好种地少年S1 2-3</x:v>
      </x:c>
      <x:c r="C4" s="34" t="str">
        <x:v>沿海养殖户/渔民</x:v>
      </x:c>
      <x:c r="D4" s="34" t="str">
        <x:v>观众对海产养殖、捕捞劳动缺乏理解</x:v>
      </x:c>
      <x:c r="E4" s="34" t="str">
        <x:v>学习生蚝养殖、凌晨出海捕鱼</x:v>
      </x:c>
      <x:c r="F4" s="34" t="str">
        <x:v>提高劳动与产业认知</x:v>
      </x:c>
      <x:c r="G4" s="34" t="str">
        <x:v>后续节目覆盖更多非大田农业</x:v>
      </x:c>
      <x:c r="H4" s="34" t="str">
        <x:v>产业传播</x:v>
      </x:c>
      <x:c r="I4" s="32" t="str">
        <x:v>中</x:v>
      </x:c>
      <x:c r="J4" s="32" t="str">
        <x:v>https://www.tvmao.com/tvcolumn/ZWRkayVd/season/2920</x:v>
      </x:c>
    </x:row>
    <x:row r="5">
      <x:c r="A5" s="34" t="str">
        <x:v>1.看见产区</x:v>
      </x:c>
      <x:c r="B5" s="34" t="str">
        <x:v>你好种地少年S1 5-6</x:v>
      </x:c>
      <x:c r="C5" s="34" t="str">
        <x:v>内蒙古农牧民</x:v>
      </x:c>
      <x:c r="D5" s="34" t="str">
        <x:v>不同地区秋收方式与产业环境差异大</x:v>
      </x:c>
      <x:c r="E5" s="34" t="str">
        <x:v>参与丰收节、收割谷穗</x:v>
      </x:c>
      <x:c r="F5" s="34" t="str">
        <x:v>扩大农业视野</x:v>
      </x:c>
      <x:c r="G5" s="34" t="str">
        <x:v>S2/S3/S4全国游学助农</x:v>
      </x:c>
      <x:c r="H5" s="34" t="str">
        <x:v>劳动+传播</x:v>
      </x:c>
      <x:c r="I5" s="32" t="str">
        <x:v>中</x:v>
      </x:c>
      <x:c r="J5" s="32" t="str">
        <x:v>https://www.tvmao.com/tvcolumn/ZWRkayVd/season/2920</x:v>
      </x:c>
    </x:row>
    <x:row r="6">
      <x:c r="A6" s="34" t="str">
        <x:v>1.5商业意识</x:v>
      </x:c>
      <x:c r="B6" s="34" t="str">
        <x:v>你好种地少年S2 2</x:v>
      </x:c>
      <x:c r="C6" s="34" t="str">
        <x:v>新疆果农/合作方</x:v>
      </x:c>
      <x:c r="D6" s="34" t="str">
        <x:v>好农产品需要商业谈判和渠道能力</x:v>
      </x:c>
      <x:c r="E6" s="34" t="str">
        <x:v>体验更正式的农产品商业谈判</x:v>
      </x:c>
      <x:c r="F6" s="34" t="str">
        <x:v>把价格、渠道、合作纳入农业叙事</x:v>
      </x:c>
      <x:c r="G6" s="34" t="str">
        <x:v>S3盐场采购、S4产区合作</x:v>
      </x:c>
      <x:c r="H6" s="34" t="str">
        <x:v>商业能力</x:v>
      </x:c>
      <x:c r="I6" s="32" t="str">
        <x:v>中</x:v>
      </x:c>
      <x:c r="J6" s="32" t="str">
        <x:v>https://pages.iqiyi.com/m/zy/zdsn2.html</x:v>
      </x:c>
    </x:row>
    <x:row r="7">
      <x:c r="A7" s="34" t="str">
        <x:v>2.完整异地助农</x:v>
      </x:c>
      <x:c r="B7" s="34" t="str">
        <x:v>种地吧S2 19-22</x:v>
      </x:c>
      <x:c r="C7" s="34" t="str">
        <x:v>甘肃民勤治沙区/人参果农户</x:v>
      </x:c>
      <x:c r="D7" s="34" t="str">
        <x:v>荒漠生态治理压力；地方农产需要销量</x:v>
      </x:c>
      <x:c r="E7" s="34" t="str">
        <x:v>种梭梭约18万株；联合当地干部村民；人参果助农直播</x:v>
      </x:c>
      <x:c r="F7" s="34" t="str">
        <x:v>生态改善+农产曝光与销售</x:v>
      </x:c>
      <x:c r="G7" s="34" t="str">
        <x:v>S3把“外地助农”制度化</x:v>
      </x:c>
      <x:c r="H7" s="34" t="str">
        <x:v>生态+直播</x:v>
      </x:c>
      <x:c r="I7" s="32" t="str">
        <x:v>高</x:v>
      </x:c>
      <x:c r="J7" s="32" t="str">
        <x:v>https://www.iqiyi.com/a_1ob6ur0upnl.html</x:v>
      </x:c>
    </x:row>
    <x:row r="8">
      <x:c r="A8" s="34" t="str">
        <x:v>2.周边供应链</x:v>
      </x:c>
      <x:c r="B8" s="34" t="str">
        <x:v>种地吧S2 26,32</x:v>
      </x:c>
      <x:c r="C8" s="34" t="str">
        <x:v>后陡门周边果农</x:v>
      </x:c>
      <x:c r="D8" s="34" t="str">
        <x:v>草莓滞销/自家原料不足</x:v>
      </x:c>
      <x:c r="E8" s="34" t="str">
        <x:v>计划并实际向周边果农采购草莓加工成酱</x:v>
      </x:c>
      <x:c r="F8" s="34" t="str">
        <x:v>帮助消化农产品，同时扩大加工规模</x:v>
      </x:c>
      <x:c r="G8" s="34" t="str">
        <x:v>S3乡村合伙人/产地采购</x:v>
      </x:c>
      <x:c r="H8" s="34" t="str">
        <x:v>采购+加工</x:v>
      </x:c>
      <x:c r="I8" s="32" t="str">
        <x:v>高</x:v>
      </x:c>
      <x:c r="J8" s="32" t="str">
        <x:v>https://www.iqiyi.com/a_1ob6ur0upnl.html</x:v>
      </x:c>
    </x:row>
    <x:row r="9">
      <x:c r="A9" s="34" t="str">
        <x:v>2.平台萌芽</x:v>
      </x:c>
      <x:c r="B9" s="34" t="str">
        <x:v>种地吧S2 37</x:v>
      </x:c>
      <x:c r="C9" s="34" t="str">
        <x:v>新农人/合作方</x:v>
      </x:c>
      <x:c r="D9" s="34" t="str">
        <x:v>单个农产品缺少品牌与流量入口</x:v>
      </x:c>
      <x:c r="E9" s="34" t="str">
        <x:v>5·18爱侬日论坛+直播集中推介产品</x:v>
      </x:c>
      <x:c r="F9" s="34" t="str">
        <x:v>形成“新农人+品牌+直播”平台雏形</x:v>
      </x:c>
      <x:c r="G9" s="34" t="str">
        <x:v>S3爱侬研讨会</x:v>
      </x:c>
      <x:c r="H9" s="34" t="str">
        <x:v>平台助农</x:v>
      </x:c>
      <x:c r="I9" s="32" t="str">
        <x:v>高</x:v>
      </x:c>
      <x:c r="J9" s="32" t="str">
        <x:v>https://www.iqiyi.com/a_1ob6ur0upnl.html</x:v>
      </x:c>
    </x:row>
    <x:row r="10">
      <x:c r="A10" s="34" t="str">
        <x:v>2.产地采购</x:v>
      </x:c>
      <x:c r="B10" s="34" t="str">
        <x:v>种地吧S2 38</x:v>
      </x:c>
      <x:c r="C10" s="34" t="str">
        <x:v>缙云/仙居杨梅农户</x:v>
      </x:c>
      <x:c r="D10" s="34" t="str">
        <x:v>产地农产品需要稳定采购和渠道</x:v>
      </x:c>
      <x:c r="E10" s="34" t="str">
        <x:v>进村考察杨梅并谈采购</x:v>
      </x:c>
      <x:c r="F10" s="34" t="str">
        <x:v>从“自己卖”升级到“帮别人卖”</x:v>
      </x:c>
      <x:c r="G10" s="34" t="str">
        <x:v>S3/S4全国采购合作</x:v>
      </x:c>
      <x:c r="H10" s="34" t="str">
        <x:v>采购助农</x:v>
      </x:c>
      <x:c r="I10" s="32" t="str">
        <x:v>高</x:v>
      </x:c>
      <x:c r="J10" s="32" t="str">
        <x:v>https://www.iqiyi.com/a_1ob6ur0upnl.html</x:v>
      </x:c>
    </x:row>
    <x:row r="11">
      <x:c r="A11" s="34" t="str">
        <x:v>3.乡村合伙人</x:v>
      </x:c>
      <x:c r="B11" s="34" t="str">
        <x:v>种地吧S3 3-6</x:v>
      </x:c>
      <x:c r="C11" s="34" t="str">
        <x:v>东北林口等地沙棘产业/村民</x:v>
      </x:c>
      <x:c r="D11" s="34" t="str">
        <x:v>原料价值低、销售能力不足</x:v>
      </x:c>
      <x:c r="E11" s="34" t="str">
        <x:v>采沙棘→研发沙棘皂→乡村合伙人→年货大集→分红</x:v>
      </x:c>
      <x:c r="F11" s="34" t="str">
        <x:v>不仅卖货，还建立利益共享机制</x:v>
      </x:c>
      <x:c r="G11" s="34" t="str">
        <x:v>成为S3制度型助农标志</x:v>
      </x:c>
      <x:c r="H11" s="34" t="str">
        <x:v>合伙人/分红</x:v>
      </x:c>
      <x:c r="I11" s="32" t="str">
        <x:v>高</x:v>
      </x:c>
      <x:c r="J11" s="32" t="str">
        <x:v>https://pages.iqiyi.com/p/zy/zhongdiba3.html</x:v>
      </x:c>
    </x:row>
    <x:row r="12">
      <x:c r="A12" s="34" t="str">
        <x:v>3.设施赋能</x:v>
      </x:c>
      <x:c r="B12" s="34" t="str">
        <x:v>种地吧S3 10-11</x:v>
      </x:c>
      <x:c r="C12" s="34" t="str">
        <x:v>青海囊谦农户</x:v>
      </x:c>
      <x:c r="D12" s="34" t="str">
        <x:v>高海拔、暴风雪环境下设施农业能力受限</x:v>
      </x:c>
      <x:c r="E12" s="34" t="str">
        <x:v>改造大棚、持续施工</x:v>
      </x:c>
      <x:c r="F12" s="34" t="str">
        <x:v>改善当地持续生产条件</x:v>
      </x:c>
      <x:c r="G12" s="34" t="str">
        <x:v>当地伙伴后续回访/直播</x:v>
      </x:c>
      <x:c r="H12" s="34" t="str">
        <x:v>基建助农</x:v>
      </x:c>
      <x:c r="I12" s="32" t="str">
        <x:v>高</x:v>
      </x:c>
      <x:c r="J12" s="32" t="str">
        <x:v>https://pages.iqiyi.com/p/zy/zhongdiba3.html</x:v>
      </x:c>
    </x:row>
    <x:row r="13">
      <x:c r="A13" s="34" t="str">
        <x:v>3.渠道合作</x:v>
      </x:c>
      <x:c r="B13" s="34" t="str">
        <x:v>种地吧S3 12</x:v>
      </x:c>
      <x:c r="C13" s="34" t="str">
        <x:v>青海特色盐产业</x:v>
      </x:c>
      <x:c r="D13" s="34" t="str">
        <x:v>地方特色产品需要进入外部市场</x:v>
      </x:c>
      <x:c r="E13" s="34" t="str">
        <x:v>与盐场达成合作、下订红盐白盐</x:v>
      </x:c>
      <x:c r="F13" s="34" t="str">
        <x:v>形成真实采购与渠道关系</x:v>
      </x:c>
      <x:c r="G13" s="34" t="str">
        <x:v>后陡门集散中心功能增强</x:v>
      </x:c>
      <x:c r="H13" s="34" t="str">
        <x:v>产地采购</x:v>
      </x:c>
      <x:c r="I13" s="32" t="str">
        <x:v>高</x:v>
      </x:c>
      <x:c r="J13" s="32" t="str">
        <x:v>https://pages.iqiyi.com/p/zy/zhongdiba3.html</x:v>
      </x:c>
    </x:row>
    <x:row r="14">
      <x:c r="A14" s="34" t="str">
        <x:v>3.新农人平台</x:v>
      </x:c>
      <x:c r="B14" s="34" t="str">
        <x:v>种地吧S3 19</x:v>
      </x:c>
      <x:c r="C14" s="34" t="str">
        <x:v>木兰校长等新农人</x:v>
      </x:c>
      <x:c r="D14" s="34" t="str">
        <x:v>新农人需要交流、传播和资源对接</x:v>
      </x:c>
      <x:c r="E14" s="34" t="str">
        <x:v>爱侬研讨会集中交流</x:v>
      </x:c>
      <x:c r="F14" s="34" t="str">
        <x:v>形成跨地区农人网络</x:v>
      </x:c>
      <x:c r="G14" s="34" t="str">
        <x:v>39-40期回到麦田音乐会和直播</x:v>
      </x:c>
      <x:c r="H14" s="34" t="str">
        <x:v>平台/网络</x:v>
      </x:c>
      <x:c r="I14" s="32" t="str">
        <x:v>高</x:v>
      </x:c>
      <x:c r="J14" s="32" t="str">
        <x:v>https://www.iqiyi.com/a_1m6mg3fkjcd.html</x:v>
      </x:c>
    </x:row>
    <x:row r="15">
      <x:c r="A15" s="34" t="str">
        <x:v>3.能力转移</x:v>
      </x:c>
      <x:c r="B15" s="34" t="str">
        <x:v>种地吧S3 40</x:v>
      </x:c>
      <x:c r="C15" s="34" t="str">
        <x:v>高叔高婶、木兰校长</x:v>
      </x:c>
      <x:c r="D15" s="34" t="str">
        <x:v>长期依赖外部主播不可持续</x:v>
      </x:c>
      <x:c r="E15" s="34" t="str">
        <x:v>让合作伙伴首次自己进爱侬直播间，十个勤天教授直播技巧</x:v>
      </x:c>
      <x:c r="F15" s="34" t="str">
        <x:v>销售能力留在农人自己手里</x:v>
      </x:c>
      <x:c r="G15" s="34" t="str">
        <x:v>为S4品牌化助农奠基</x:v>
      </x:c>
      <x:c r="H15" s="34" t="str">
        <x:v>直播培训/赋能</x:v>
      </x:c>
      <x:c r="I15" s="32" t="str">
        <x:v>高</x:v>
      </x:c>
      <x:c r="J15" s="32" t="str">
        <x:v>https://www.iqiyi.com/a_1m6mg3fkjcd.html</x:v>
      </x:c>
    </x:row>
    <x:row r="16">
      <x:c r="A16" s="34" t="str">
        <x:v>4.产区诊断</x:v>
      </x:c>
      <x:c r="B16" s="34" t="str">
        <x:v>种地吧S4 1-6</x:v>
      </x:c>
      <x:c r="C16" s="34" t="str">
        <x:v>西藏墨脱农户/特色农产</x:v>
      </x:c>
      <x:c r="D16" s="34" t="str">
        <x:v>特色农产有资源，但销路、品牌和外部认知有限</x:v>
      </x:c>
      <x:c r="E16" s="34" t="str">
        <x:v>砍蕉/考察→种石斛→农产品推介会</x:v>
      </x:c>
      <x:c r="F16" s="34" t="str">
        <x:v>先理解生产，再对接传播与渠道</x:v>
      </x:c>
      <x:c r="G16" s="34" t="str">
        <x:v>S4形成“一个产区一个解决方案”模式</x:v>
      </x:c>
      <x:c r="H16" s="34" t="str">
        <x:v>产区解决方案</x:v>
      </x:c>
      <x:c r="I16" s="32" t="str">
        <x:v>高</x:v>
      </x:c>
      <x:c r="J16" s="32" t="str">
        <x:v>https://www.iqiyi.com/a_vnn1du4wil.html</x:v>
      </x:c>
    </x:row>
    <x:row r="17">
      <x:c r="A17" s="34" t="str">
        <x:v>4.产品化</x:v>
      </x:c>
      <x:c r="B17" s="34" t="str">
        <x:v>种地吧S4 8-12</x:v>
      </x:c>
      <x:c r="C17" s="34" t="str">
        <x:v>沙漠产区红枣/果农</x:v>
      </x:c>
      <x:c r="D17" s="34" t="str">
        <x:v>原料型产品价值有限、沙漠农业基础设施要求高</x:v>
      </x:c>
      <x:c r="E17" s="34" t="str">
        <x:v>铺滴灌/推沙→红枣果丹皮研发→直播准备</x:v>
      </x:c>
      <x:c r="F17" s="34" t="str">
        <x:v>生产条件+深加工+销售一体化</x:v>
      </x:c>
      <x:c r="G17" s="34" t="str">
        <x:v>延续S2治沙和S3产品研发</x:v>
      </x:c>
      <x:c r="H17" s="34" t="str">
        <x:v>生态+加工+直播</x:v>
      </x:c>
      <x:c r="I17" s="32" t="str">
        <x:v>高</x:v>
      </x:c>
      <x:c r="J17" s="32" t="str">
        <x:v>https://www.tvmao.com/tvcolumn/J2RiY2Js/section/37564</x:v>
      </x:c>
    </x:row>
    <x:row r="18">
      <x:c r="A18" s="34" t="str">
        <x:v>4.平台延续</x:v>
      </x:c>
      <x:c r="B18" s="34" t="str">
        <x:v>种地吧S4 18</x:v>
      </x:c>
      <x:c r="C18" s="34" t="str">
        <x:v>历季新老农友/全国农产品</x:v>
      </x:c>
      <x:c r="D18" s="34" t="str">
        <x:v>各产区需要持续展示与连接</x:v>
      </x:c>
      <x:c r="E18" s="34" t="str">
        <x:v>后陡门集中介绍全国合作农产品</x:v>
      </x:c>
      <x:c r="F18" s="34" t="str">
        <x:v>后陡门继续作为交流/集散节点</x:v>
      </x:c>
      <x:c r="G18" s="34" t="str">
        <x:v>承接S3官方定位</x:v>
      </x:c>
      <x:c r="H18" s="34" t="str">
        <x:v>平台助农</x:v>
      </x:c>
      <x:c r="I18" s="32" t="str">
        <x:v>高</x:v>
      </x:c>
      <x:c r="J18" s="32" t="str">
        <x:v>https://www.iqiyi.com/a_vnn1du4wil.html</x:v>
      </x:c>
    </x:row>
    <x:row r="19">
      <x:c r="A19" s="34" t="str">
        <x:v>4.灾后市场响应</x:v>
      </x:c>
      <x:c r="B19" s="34" t="str">
        <x:v>种地吧S4 29</x:v>
      </x:c>
      <x:c r="C19" s="34" t="str">
        <x:v>西双版纳水果农户</x:v>
      </x:c>
      <x:c r="D19" s="34" t="str">
        <x:v>水果遭灾、芒果极低价，产地出现销售危机</x:v>
      </x:c>
      <x:c r="E19" s="34" t="str">
        <x:v>实地了解价格与灾情，团队讨论水果危机对策</x:v>
      </x:c>
      <x:c r="F19" s="34" t="str">
        <x:v>把助农焦点转向突发市场风险</x:v>
      </x:c>
      <x:c r="G19" s="34" t="str">
        <x:v>后续可观察是否形成渠道/产品方案</x:v>
      </x:c>
      <x:c r="H19" s="34" t="str">
        <x:v>灾后助农</x:v>
      </x:c>
      <x:c r="I19" s="32" t="str">
        <x:v>高</x:v>
      </x:c>
      <x:c r="J19" s="32" t="str">
        <x:v>https://www.iqiyi.com/a_vnn1du4wil.html</x:v>
      </x:c>
    </x:row>
    <x:row r="20">
      <x:c r="A20" s="34" t="str">
        <x:v>4.品牌方案</x:v>
      </x:c>
      <x:c r="B20" s="34" t="str">
        <x:v>种地吧S4 30</x:v>
      </x:c>
      <x:c r="C20" s="34" t="str">
        <x:v>云南橡胶产业/胶工</x:v>
      </x:c>
      <x:c r="D20" s="34" t="str">
        <x:v>初级原料产业品牌化与规模化不足</x:v>
      </x:c>
      <x:c r="E20" s="34" t="str">
        <x:v>学习割胶；提出打造当地规模化品牌</x:v>
      </x:c>
      <x:c r="F20" s="34" t="str">
        <x:v>从一次带货升级为产业品牌思路</x:v>
      </x:c>
      <x:c r="G20" s="34" t="str">
        <x:v>代表S4助农层级进一步上升</x:v>
      </x:c>
      <x:c r="H20" s="34" t="str">
        <x:v>品牌助农</x:v>
      </x:c>
      <x:c r="I20" s="32" t="str">
        <x:v>高</x:v>
      </x:c>
      <x:c r="J20" s="32" t="str">
        <x:v>https://www.iqiyi.com/a_vnn1du4wil.html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5" hidden="0" customWidth="1"/>
    <x:col min="3" max="3" width="55" hidden="0" customWidth="1"/>
    <x:col min="4" max="4" width="28" hidden="0" customWidth="1"/>
  </x:cols>
  <x:sheetData>
    <x:row r="1">
      <x:c r="A1" s="25" t="str">
        <x:v>项目</x:v>
      </x:c>
      <x:c r="B1" s="25" t="str">
        <x:v>口径/说明</x:v>
      </x:c>
      <x:c r="C1" s="25" t="str">
        <x:v>主要来源</x:v>
      </x:c>
      <x:c r="D1" s="25" t="str">
        <x:v>置信度说明</x:v>
      </x:c>
    </x:row>
    <x:row r="2">
      <x:c r="A2" s="16" t="str">
        <x:v>期数</x:v>
      </x:c>
      <x:c r="B2" s="16" t="str">
        <x:v>S1=50；S2=43；S3=40；S4截至2026-08-28正片32；你好种地少年S1/S2各10期</x:v>
      </x:c>
      <x:c r="C2" s="16" t="str">
        <x:v>爱奇艺官方专辑页、电视猫分期索引</x:v>
      </x:c>
      <x:c r="D2" s="16" t="str">
        <x:v>期数：高</x:v>
      </x:c>
    </x:row>
    <x:row r="3">
      <x:c r="A3" s="16" t="str">
        <x:v>人物</x:v>
      </x:c>
      <x:c r="B3" s="16" t="str">
        <x:v>只列十个勤天之外且对农事/经营/助农有实际作用的人；无可靠姓名时写身份</x:v>
      </x:c>
      <x:c r="C3" s="16" t="str">
        <x:v>爱奇艺每期看点、节目页、电视猫</x:v>
      </x:c>
      <x:c r="D3" s="16" t="str">
        <x:v>重要嘉宾高；无名技术人员中</x:v>
      </x:c>
    </x:row>
    <x:row r="4">
      <x:c r="A4" s="16" t="str">
        <x:v>主要事件</x:v>
      </x:c>
      <x:c r="B4" s="16" t="str">
        <x:v>优先提炼推动农业生产、经营、产品、渠道、助农的事件，弱化纯游戏/综艺梗</x:v>
      </x:c>
      <x:c r="C4" s="16" t="str">
        <x:v>同上</x:v>
      </x:c>
      <x:c r="D4" s="16" t="str">
        <x:v>S2/S3高；S1早期部分中；S4 24-28中低</x:v>
      </x:c>
    </x:row>
    <x:row r="5">
      <x:c r="A5" s="16" t="str">
        <x:v>第四季</x:v>
      </x:c>
      <x:c r="B5" s="16" t="str">
        <x:v>节目仍在播出，当前表只覆盖截至2026-08-28已播正片第32期，不把加更计入</x:v>
      </x:c>
      <x:c r="C5" s="16" t="str">
        <x:v>爱奇艺第四季官方页</x:v>
      </x:c>
      <x:c r="D5" s="16" t="str">
        <x:v>高</x:v>
      </x:c>
    </x:row>
    <x:row r="6">
      <x:c r="A6" s="16" t="str">
        <x:v>助农判定</x:v>
      </x:c>
      <x:c r="B6" s="16" t="str">
        <x:v>把“直接帮助农户/村集体/产区”的劳动、采购、基建、研发、直播、培训、品牌与渠道行为标为助农；单纯游学传播单列为“产业传播”</x:v>
      </x:c>
      <x:c r="C6" s="16" t="str">
        <x:v>综合判断</x:v>
      </x:c>
      <x:c r="D6" s="16" t="str">
        <x:v>分析性标签：中高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20" hidden="0" customWidth="1"/>
    <x:col min="4" max="4" width="24" hidden="0" customWidth="1"/>
    <x:col min="5" max="5" width="20" hidden="0" customWidth="1"/>
    <x:col min="6" max="6" width="28" hidden="0" customWidth="1"/>
    <x:col min="7" max="7" width="42" hidden="0" customWidth="1"/>
    <x:col min="8" max="8" width="16" hidden="0" customWidth="1"/>
    <x:col min="9" max="9" width="12" hidden="0" customWidth="1"/>
    <x:col min="10" max="10" width="12" hidden="0" customWidth="1"/>
    <x:col min="11" max="11" width="52" hidden="0" customWidth="1"/>
    <x:col min="12" max="12" width="26" hidden="0" customWidth="1"/>
    <x:col min="13" max="13" width="10" hidden="0" customWidth="1"/>
    <x:col min="14" max="14" width="48" hidden="0" customWidth="1"/>
  </x:cols>
  <x:sheetData>
    <x:row r="1">
      <x:c r="A1" s="42" t="str">
        <x:v>实体ID</x:v>
      </x:c>
      <x:c r="B1" s="42" t="str">
        <x:v>实体/对象</x:v>
      </x:c>
      <x:c r="C1" s="42" t="str">
        <x:v>类型</x:v>
      </x:c>
      <x:c r="D1" s="42" t="str">
        <x:v>地区</x:v>
      </x:c>
      <x:c r="E1" s="42" t="str">
        <x:v>首次接触</x:v>
      </x:c>
      <x:c r="F1" s="42" t="str">
        <x:v>主要产品/资源</x:v>
      </x:c>
      <x:c r="G1" s="42" t="str">
        <x:v>核心诉求/问题</x:v>
      </x:c>
      <x:c r="H1" s="42" t="str">
        <x:v>关系级别</x:v>
      </x:c>
      <x:c r="I1" s="42" t="str">
        <x:v>关联事件数</x:v>
      </x:c>
      <x:c r="J1" s="42" t="str">
        <x:v>跨季延续</x:v>
      </x:c>
      <x:c r="K1" s="42" t="str">
        <x:v>最新可验证结果</x:v>
      </x:c>
      <x:c r="L1" s="42" t="str">
        <x:v>最新状态</x:v>
      </x:c>
      <x:c r="M1" s="42" t="str">
        <x:v>置信度</x:v>
      </x:c>
      <x:c r="N1" s="42" t="str">
        <x:v>主要来源</x:v>
      </x:c>
    </x:row>
    <x:row r="2">
      <x:c r="A2" s="32" t="str">
        <x:v>E001</x:v>
      </x:c>
      <x:c r="B2" s="32" t="str">
        <x:v>后陡门周边果农</x:v>
      </x:c>
      <x:c r="C2" s="32" t="str">
        <x:v>农户群体</x:v>
      </x:c>
      <x:c r="D2" s="32" t="str">
        <x:v>浙江杭州后陡门周边</x:v>
      </x:c>
      <x:c r="E2" s="32" t="str">
        <x:v>种地吧S2</x:v>
      </x:c>
      <x:c r="F2" s="32" t="str">
        <x:v>草莓等果蔬</x:v>
      </x:c>
      <x:c r="G2" s="32" t="str">
        <x:v>农产品销路；十个勤天自有加工原料不足</x:v>
      </x:c>
      <x:c r="H2" s="32" t="str">
        <x:v>3 合作</x:v>
      </x:c>
      <x:c r="I2" s="32" t="n">
        <x:f>COUNTIF('助农事件明细'!$E$2:$E$100,A2)</x:f>
        <x:v>1</x:v>
      </x:c>
      <x:c r="J2" s="32" t="str">
        <x:v>否</x:v>
      </x:c>
      <x:c r="K2" s="32" t="str">
        <x:v>十个勤天向周边果农采购草莓用于草莓酱等加工</x:v>
      </x:c>
      <x:c r="L2" s="32" t="str">
        <x:v>合作已发生，后续跨季未找到明确回访</x:v>
      </x:c>
      <x:c r="M2" s="32" t="str">
        <x:v>中高</x:v>
      </x:c>
      <x:c r="N2" s="32" t="str">
        <x:v>https://pages.iqiyi.com/p/zbs/news20240223.html</x:v>
      </x:c>
    </x:row>
    <x:row r="3">
      <x:c r="A3" s="32" t="str">
        <x:v>E002</x:v>
      </x:c>
      <x:c r="B3" s="32" t="str">
        <x:v>甘肃民勤治沙区农户/村民</x:v>
      </x:c>
      <x:c r="C3" s="32" t="str">
        <x:v>产区/农户群体</x:v>
      </x:c>
      <x:c r="D3" s="32" t="str">
        <x:v>甘肃民勤</x:v>
      </x:c>
      <x:c r="E3" s="32" t="str">
        <x:v>种地吧S2 19-22期</x:v>
      </x:c>
      <x:c r="F3" s="32" t="str">
        <x:v>梭梭、人参果、荒漠生态资源</x:v>
      </x:c>
      <x:c r="G3" s="32" t="str">
        <x:v>防沙治沙压力；地方农产需要更多市场关注</x:v>
      </x:c>
      <x:c r="H3" s="32" t="str">
        <x:v>3 合作</x:v>
      </x:c>
      <x:c r="I3" s="32" t="n">
        <x:f>COUNTIF('助农事件明细'!$E$2:$E$100,A3)</x:f>
        <x:v>1</x:v>
      </x:c>
      <x:c r="J3" s="32" t="str">
        <x:v>否</x:v>
      </x:c>
      <x:c r="K3" s="32" t="str">
        <x:v>自费购入梭梭苗累计种植约18万棵、占地超500亩；种树直播观看超1200万</x:v>
      </x:c>
      <x:c r="L3" s="32" t="str">
        <x:v>项目完成；后续关系通过仲麟延续</x:v>
      </x:c>
      <x:c r="M3" s="32" t="str">
        <x:v>高</x:v>
      </x:c>
      <x:c r="N3" s="32" t="str">
        <x:v>https://pages.iqiyi.com/p/zbs/news2024031302.html</x:v>
      </x:c>
    </x:row>
    <x:row r="4">
      <x:c r="A4" s="32" t="str">
        <x:v>E003</x:v>
      </x:c>
      <x:c r="B4" s="32" t="str">
        <x:v>仲麟</x:v>
      </x:c>
      <x:c r="C4" s="32" t="str">
        <x:v>返乡新农人</x:v>
      </x:c>
      <x:c r="D4" s="32" t="str">
        <x:v>甘肃民勤</x:v>
      </x:c>
      <x:c r="E4" s="32" t="str">
        <x:v>种地吧S2 21期附近</x:v>
      </x:c>
      <x:c r="F4" s="32" t="str">
        <x:v>梭梭/治沙产业</x:v>
      </x:c>
      <x:c r="G4" s="32" t="str">
        <x:v>返乡创业与治沙事业需要持续关注和合作网络</x:v>
      </x:c>
      <x:c r="H4" s="32" t="str">
        <x:v>4 长期伙伴</x:v>
      </x:c>
      <x:c r="I4" s="32" t="n">
        <x:f>COUNTIF('助农事件明细'!$E$2:$E$100,A4)</x:f>
        <x:v>2</x:v>
      </x:c>
      <x:c r="J4" s="32" t="str">
        <x:v>是</x:v>
      </x:c>
      <x:c r="K4" s="32" t="str">
        <x:v>S2民勤合作后，S3第39期再次到后陡门参加麦田音乐会/助农回顾</x:v>
      </x:c>
      <x:c r="L4" s="32" t="str">
        <x:v>跨季关系仍在</x:v>
      </x:c>
      <x:c r="M4" s="32" t="str">
        <x:v>高</x:v>
      </x:c>
      <x:c r="N4" s="32" t="str">
        <x:v>https://www.iqiyi.com/a_1m6mg3fkjcd.html</x:v>
      </x:c>
    </x:row>
    <x:row r="5">
      <x:c r="A5" s="32" t="str">
        <x:v>E004</x:v>
      </x:c>
      <x:c r="B5" s="32" t="str">
        <x:v>民勤人参果种植者</x:v>
      </x:c>
      <x:c r="C5" s="32" t="str">
        <x:v>农户/产业合作方</x:v>
      </x:c>
      <x:c r="D5" s="32" t="str">
        <x:v>甘肃民勤</x:v>
      </x:c>
      <x:c r="E5" s="32" t="str">
        <x:v>种地吧S2 21-22期</x:v>
      </x:c>
      <x:c r="F5" s="32" t="str">
        <x:v>人参果</x:v>
      </x:c>
      <x:c r="G5" s="32" t="str">
        <x:v>特色农产需要曝光和销售渠道</x:v>
      </x:c>
      <x:c r="H5" s="32" t="str">
        <x:v>2 直接帮扶</x:v>
      </x:c>
      <x:c r="I5" s="32" t="n">
        <x:f>COUNTIF('助农事件明细'!$E$2:$E$100,A5)</x:f>
        <x:v>1</x:v>
      </x:c>
      <x:c r="J5" s="32" t="str">
        <x:v>否</x:v>
      </x:c>
      <x:c r="K5" s="32" t="str">
        <x:v>节目开展人参果助农直播；公开资料未检索到可靠销售数量</x:v>
      </x:c>
      <x:c r="L5" s="32" t="str">
        <x:v>阶段性完成</x:v>
      </x:c>
      <x:c r="M5" s="32" t="str">
        <x:v>中高</x:v>
      </x:c>
      <x:c r="N5" s="32" t="str">
        <x:v>https://www.iqiyi.com/a_wbm9c2d5c9.html</x:v>
      </x:c>
    </x:row>
    <x:row r="6">
      <x:c r="A6" s="32" t="str">
        <x:v>E005</x:v>
      </x:c>
      <x:c r="B6" s="32" t="str">
        <x:v>缙云仁岸村/仙居杨梅农户</x:v>
      </x:c>
      <x:c r="C6" s="32" t="str">
        <x:v>村庄/农户群体</x:v>
      </x:c>
      <x:c r="D6" s="32" t="str">
        <x:v>浙江丽水缙云、台州仙居</x:v>
      </x:c>
      <x:c r="E6" s="32" t="str">
        <x:v>种地吧S2 38期</x:v>
      </x:c>
      <x:c r="F6" s="32" t="str">
        <x:v>杨梅</x:v>
      </x:c>
      <x:c r="G6" s="32" t="str">
        <x:v>产地农产品需要采购和稳定渠道</x:v>
      </x:c>
      <x:c r="H6" s="32" t="str">
        <x:v>3 合作</x:v>
      </x:c>
      <x:c r="I6" s="32" t="n">
        <x:f>COUNTIF('助农事件明细'!$E$2:$E$100,A6)</x:f>
        <x:v>1</x:v>
      </x:c>
      <x:c r="J6" s="32" t="str">
        <x:v>否</x:v>
      </x:c>
      <x:c r="K6" s="32" t="str">
        <x:v>十个勤天实地考察并与村方/农户谈采购</x:v>
      </x:c>
      <x:c r="L6" s="32" t="str">
        <x:v>合作意向已建立；未找到跨季回访证据</x:v>
      </x:c>
      <x:c r="M6" s="32" t="str">
        <x:v>中高</x:v>
      </x:c>
      <x:c r="N6" s="32" t="str">
        <x:v>https://www.iqiyi.com/a_1ob6ur0upnl.html</x:v>
      </x:c>
    </x:row>
    <x:row r="7">
      <x:c r="A7" s="32" t="str">
        <x:v>E006</x:v>
      </x:c>
      <x:c r="B7" s="32" t="str">
        <x:v>高克新（高叔）及林口沙棘伙伴</x:v>
      </x:c>
      <x:c r="C7" s="32" t="str">
        <x:v>新农人/农户</x:v>
      </x:c>
      <x:c r="D7" s="32" t="str">
        <x:v>黑龙江林口</x:v>
      </x:c>
      <x:c r="E7" s="32" t="str">
        <x:v>种地吧S3 2期起</x:v>
      </x:c>
      <x:c r="F7" s="32" t="str">
        <x:v>沙棘、沙棘皂</x:v>
      </x:c>
      <x:c r="G7" s="32" t="str">
        <x:v>沙棘前期投入大、原料价值有限，需要提升产品价值与销路</x:v>
      </x:c>
      <x:c r="H7" s="32" t="str">
        <x:v>4 长期伙伴</x:v>
      </x:c>
      <x:c r="I7" s="32" t="n">
        <x:f>COUNTIF('助农事件明细'!$E$2:$E$100,A7)</x:f>
        <x:v>2</x:v>
      </x:c>
      <x:c r="J7" s="32" t="str">
        <x:v>否</x:v>
      </x:c>
      <x:c r="K7" s="32" t="str">
        <x:v>采收→沙棘皂开发→乡村合伙人→展销分红→爱侬日；高克新微博开通10分钟涨粉过万</x:v>
      </x:c>
      <x:c r="L7" s="32" t="str">
        <x:v>S3第39-40期仍回到后陡门并参与直播</x:v>
      </x:c>
      <x:c r="M7" s="32" t="str">
        <x:v>高</x:v>
      </x:c>
      <x:c r="N7" s="32" t="str">
        <x:v>https://pages.iqiyi.com/p/zbs/news20250715.html</x:v>
      </x:c>
    </x:row>
    <x:row r="8">
      <x:c r="A8" s="32" t="str">
        <x:v>E007</x:v>
      </x:c>
      <x:c r="B8" s="32" t="str">
        <x:v>林口乡村合伙人群体</x:v>
      </x:c>
      <x:c r="C8" s="32" t="str">
        <x:v>村民/合作机制</x:v>
      </x:c>
      <x:c r="D8" s="32" t="str">
        <x:v>黑龙江林口</x:v>
      </x:c>
      <x:c r="E8" s="32" t="str">
        <x:v>种地吧S3 7-10期</x:v>
      </x:c>
      <x:c r="F8" s="32" t="str">
        <x:v>沙棘及林口农产品</x:v>
      </x:c>
      <x:c r="G8" s="32" t="str">
        <x:v>短期帮扶难形成稳定收益机制</x:v>
      </x:c>
      <x:c r="H8" s="32" t="str">
        <x:v>4 长期伙伴</x:v>
      </x:c>
      <x:c r="I8" s="32" t="n">
        <x:f>COUNTIF('助农事件明细'!$E$2:$E$100,A8)</x:f>
        <x:v>1</x:v>
      </x:c>
      <x:c r="J8" s="32" t="str">
        <x:v>否</x:v>
      </x:c>
      <x:c r="K8" s="32" t="str">
        <x:v>乡村合伙人计划落地，并在林口农产品展销后进行分红</x:v>
      </x:c>
      <x:c r="L8" s="32" t="str">
        <x:v>机制型合作已形成</x:v>
      </x:c>
      <x:c r="M8" s="32" t="str">
        <x:v>高</x:v>
      </x:c>
      <x:c r="N8" s="32" t="str">
        <x:v>https://pages.iqiyi.com/p/zy/zhongdiba3.html</x:v>
      </x:c>
    </x:row>
    <x:row r="9">
      <x:c r="A9" s="32" t="str">
        <x:v>E008</x:v>
      </x:c>
      <x:c r="B9" s="32" t="str">
        <x:v>成林</x:v>
      </x:c>
      <x:c r="C9" s="32" t="str">
        <x:v>牧民/大棚种植者</x:v>
      </x:c>
      <x:c r="D9" s="32" t="str">
        <x:v>青海囊谦县娘拉乡</x:v>
      </x:c>
      <x:c r="E9" s="32" t="str">
        <x:v>种地吧S3 首期</x:v>
      </x:c>
      <x:c r="F9" s="32" t="str">
        <x:v>高原蔬菜、水培大棚</x:v>
      </x:c>
      <x:c r="G9" s="32" t="str">
        <x:v>高原大棚缺水缺电，蔬菜生产受自然条件制约</x:v>
      </x:c>
      <x:c r="H9" s="32" t="str">
        <x:v>4 长期伙伴</x:v>
      </x:c>
      <x:c r="I9" s="32" t="n">
        <x:f>COUNTIF('助农事件明细'!$E$2:$E$100,A9)</x:f>
        <x:v>3</x:v>
      </x:c>
      <x:c r="J9" s="32" t="str">
        <x:v>是</x:v>
      </x:c>
      <x:c r="K9" s="32" t="str">
        <x:v>S3改造水培大棚；S4回访时已成为当地水培技术指导，带动其他农户种植</x:v>
      </x:c>
      <x:c r="L9" s="32" t="str">
        <x:v>跨季闭环，关系仍活跃</x:v>
      </x:c>
      <x:c r="M9" s="32" t="str">
        <x:v>高</x:v>
      </x:c>
      <x:c r="N9" s="32" t="str">
        <x:v>https://news.cau.edu.cn/mtndnew/294c5976e377445787bf1e30a9bcd010.htm</x:v>
      </x:c>
    </x:row>
    <x:row r="10">
      <x:c r="A10" s="32" t="str">
        <x:v>E009</x:v>
      </x:c>
      <x:c r="B10" s="32" t="str">
        <x:v>更确木兰（木兰校长）/玉树州藏医药职业学校</x:v>
      </x:c>
      <x:c r="C10" s="32" t="str">
        <x:v>教育者/社会组织</x:v>
      </x:c>
      <x:c r="D10" s="32" t="str">
        <x:v>青海囊谦</x:v>
      </x:c>
      <x:c r="E10" s="32" t="str">
        <x:v>种地吧S3 首期</x:v>
      </x:c>
      <x:c r="F10" s="32" t="str">
        <x:v>芫根、芫根粉/饮料</x:v>
      </x:c>
      <x:c r="G10" s="32" t="str">
        <x:v>用芫根产业收入支撑学校与藏医传承；产品需要升级和渠道</x:v>
      </x:c>
      <x:c r="H10" s="32" t="str">
        <x:v>4 长期伙伴</x:v>
      </x:c>
      <x:c r="I10" s="32" t="n">
        <x:f>COUNTIF('助农事件明细'!$E$2:$E$100,A10)</x:f>
        <x:v>4</x:v>
      </x:c>
      <x:c r="J10" s="32" t="str">
        <x:v>是</x:v>
      </x:c>
      <x:c r="K10" s="32" t="str">
        <x:v>芫根助农直播单平台近200万人观看、3万件1秒售罄、销售额超190万元；后续参加爱侬日并首次尝试自主直播</x:v>
      </x:c>
      <x:c r="L10" s="32" t="str">
        <x:v>S4再次重返藏医学院；囊谦产业链继续发展</x:v>
      </x:c>
      <x:c r="M10" s="32" t="str">
        <x:v>高</x:v>
      </x:c>
      <x:c r="N10" s="32" t="str">
        <x:v>https://www.qh.chinanews.com.cn/sh/news/2025/0321/133704.html</x:v>
      </x:c>
    </x:row>
    <x:row r="11">
      <x:c r="A11" s="32" t="str">
        <x:v>E010</x:v>
      </x:c>
      <x:c r="B11" s="32" t="str">
        <x:v>江羊巴桑及白扎盐场盐工</x:v>
      </x:c>
      <x:c r="C11" s="32" t="str">
        <x:v>传统农业从业者/盐工</x:v>
      </x:c>
      <x:c r="D11" s="32" t="str">
        <x:v>青海囊谦白扎盐场</x:v>
      </x:c>
      <x:c r="E11" s="32" t="str">
        <x:v>种地吧S3 首期</x:v>
      </x:c>
      <x:c r="F11" s="32" t="str">
        <x:v>红盐、白盐</x:v>
      </x:c>
      <x:c r="G11" s="32" t="str">
        <x:v>传统制盐技艺传承与产品外部市场拓展</x:v>
      </x:c>
      <x:c r="H11" s="32" t="str">
        <x:v>4 长期伙伴</x:v>
      </x:c>
      <x:c r="I11" s="32" t="n">
        <x:f>COUNTIF('助农事件明细'!$E$2:$E$100,A11)</x:f>
        <x:v>2</x:v>
      </x:c>
      <x:c r="J11" s="32" t="str">
        <x:v>是</x:v>
      </x:c>
      <x:c r="K11" s="32" t="str">
        <x:v>S3考察并下订首批红盐白盐；S4回访时白扎盐场年产盐量增加约100吨，农户户均增收约1万-2万元</x:v>
      </x:c>
      <x:c r="L11" s="32" t="str">
        <x:v>跨季闭环，产业继续增长</x:v>
      </x:c>
      <x:c r="M11" s="32" t="str">
        <x:v>高</x:v>
      </x:c>
      <x:c r="N11" s="32" t="str">
        <x:v>https://news.cau.edu.cn/mtndnew/294c5976e377445787bf1e30a9bcd010.htm</x:v>
      </x:c>
    </x:row>
    <x:row r="12">
      <x:c r="A12" s="32" t="str">
        <x:v>E011</x:v>
      </x:c>
      <x:c r="B12" s="32" t="str">
        <x:v>囊谦县农业产业合作网络</x:v>
      </x:c>
      <x:c r="C12" s="32" t="str">
        <x:v>政府/产区网络</x:v>
      </x:c>
      <x:c r="D12" s="32" t="str">
        <x:v>青海囊谦</x:v>
      </x:c>
      <x:c r="E12" s="32" t="str">
        <x:v>种地吧S3 首期</x:v>
      </x:c>
      <x:c r="F12" s="32" t="str">
        <x:v>红盐、芫根、青稞、高原蔬菜等</x:v>
      </x:c>
      <x:c r="G12" s="32" t="str">
        <x:v>特色产业分散，基础设施与外部渠道不足</x:v>
      </x:c>
      <x:c r="H12" s="32" t="str">
        <x:v>4 长期伙伴</x:v>
      </x:c>
      <x:c r="I12" s="32" t="n">
        <x:f>COUNTIF('助农事件明细'!$E$2:$E$100,A12)</x:f>
        <x:v>1</x:v>
      </x:c>
      <x:c r="J12" s="32" t="str">
        <x:v>是</x:v>
      </x:c>
      <x:c r="K12" s="32" t="str">
        <x:v>S4回访显示基础设施升级；青稞、芫根种植和收购形成较成熟产业链，盐田和直播收益进入农户</x:v>
      </x:c>
      <x:c r="L12" s="32" t="str">
        <x:v>已有五年发展规划并持续合作</x:v>
      </x:c>
      <x:c r="M12" s="32" t="str">
        <x:v>高</x:v>
      </x:c>
      <x:c r="N12" s="32" t="str">
        <x:v>https://news.cau.edu.cn/mtndnew/294c5976e377445787bf1e30a9bcd010.htm</x:v>
      </x:c>
    </x:row>
    <x:row r="13">
      <x:c r="A13" s="32" t="str">
        <x:v>E012</x:v>
      </x:c>
      <x:c r="B13" s="32" t="str">
        <x:v>宁乡花猪农户/贺大姐等合作方</x:v>
      </x:c>
      <x:c r="C13" s="32" t="str">
        <x:v>农户/地方产业</x:v>
      </x:c>
      <x:c r="D13" s="32" t="str">
        <x:v>湖南宁乡</x:v>
      </x:c>
      <x:c r="E13" s="32" t="str">
        <x:v>种地吧S3 5-6期起</x:v>
      </x:c>
      <x:c r="F13" s="32" t="str">
        <x:v>宁乡花猪</x:v>
      </x:c>
      <x:c r="G13" s="32" t="str">
        <x:v>产品价格高、成熟渠道壁垒强，需要长期品牌和渠道方案</x:v>
      </x:c>
      <x:c r="H13" s="32" t="str">
        <x:v>4 长期伙伴</x:v>
      </x:c>
      <x:c r="I13" s="32" t="n">
        <x:f>COUNTIF('助农事件明细'!$E$2:$E$100,A13)</x:f>
        <x:v>1</x:v>
      </x:c>
      <x:c r="J13" s="32" t="str">
        <x:v>否</x:v>
      </x:c>
      <x:c r="K13" s="32" t="str">
        <x:v>节目多次走访市场寻找合作品牌；爱侬日中宁乡花猪库存快速售罄；官方称品牌赋能拓宽销路</x:v>
      </x:c>
      <x:c r="L13" s="32" t="str">
        <x:v>S3第39期伙伴再次到后陡门</x:v>
      </x:c>
      <x:c r="M13" s="32" t="str">
        <x:v>高</x:v>
      </x:c>
      <x:c r="N13" s="32" t="str">
        <x:v>https://pages.iqiyi.com/p/zbs/news20250715.html</x:v>
      </x:c>
    </x:row>
    <x:row r="14">
      <x:c r="A14" s="32" t="str">
        <x:v>E013</x:v>
      </x:c>
      <x:c r="B14" s="32" t="str">
        <x:v>爱侬日/全国新农人网络</x:v>
      </x:c>
      <x:c r="C14" s="32" t="str">
        <x:v>平台/IP/农人网络</x:v>
      </x:c>
      <x:c r="D14" s="32" t="str">
        <x:v>全国/杭州后陡门</x:v>
      </x:c>
      <x:c r="E14" s="32" t="str">
        <x:v>种地吧S2 37期</x:v>
      </x:c>
      <x:c r="F14" s="32" t="str">
        <x:v>多地农产品</x:v>
      </x:c>
      <x:c r="G14" s="32" t="str">
        <x:v>单个新农人和农产品缺少集中曝光、渠道连接与经验交流平台</x:v>
      </x:c>
      <x:c r="H14" s="32" t="str">
        <x:v>4 长期平台</x:v>
      </x:c>
      <x:c r="I14" s="32" t="n">
        <x:f>COUNTIF('助农事件明细'!$E$2:$E$100,A14)</x:f>
        <x:v>2</x:v>
      </x:c>
      <x:c r="J14" s="32" t="str">
        <x:v>是</x:v>
      </x:c>
      <x:c r="K14" s="32" t="str">
        <x:v>S2形成论坛+直播；S3升级为1+N直播，联动15家农文旅直播间、展销300余款产品，全平台累计观看超1.4亿</x:v>
      </x:c>
      <x:c r="L14" s="32" t="str">
        <x:v>已成为系列标志性助农IP</x:v>
      </x:c>
      <x:c r="M14" s="32" t="str">
        <x:v>高</x:v>
      </x:c>
      <x:c r="N14" s="32" t="str">
        <x:v>https://pages.iqiyi.com/p/zbs/news20250715.html</x:v>
      </x:c>
    </x:row>
    <x:row r="15">
      <x:c r="A15" s="32" t="str">
        <x:v>E014</x:v>
      </x:c>
      <x:c r="B15" s="32" t="str">
        <x:v>墨脱农户/特色农业产区</x:v>
      </x:c>
      <x:c r="C15" s="32" t="str">
        <x:v>产区/农户群体</x:v>
      </x:c>
      <x:c r="D15" s="32" t="str">
        <x:v>西藏墨脱</x:v>
      </x:c>
      <x:c r="E15" s="32" t="str">
        <x:v>种地吧S4 1-6期</x:v>
      </x:c>
      <x:c r="F15" s="32" t="str">
        <x:v>香蕉、枇杷、茶、香橼、石斛、灵芝等</x:v>
      </x:c>
      <x:c r="G15" s="32" t="str">
        <x:v>物产丰富但外界认知、产品展示与产业连接仍需加强</x:v>
      </x:c>
      <x:c r="H15" s="32" t="str">
        <x:v>3 合作</x:v>
      </x:c>
      <x:c r="I15" s="32" t="n">
        <x:f>COUNTIF('助农事件明细'!$E$2:$E$100,A15)</x:f>
        <x:v>2</x:v>
      </x:c>
      <x:c r="J15" s="32" t="str">
        <x:v>否</x:v>
      </x:c>
      <x:c r="K15" s="32" t="str">
        <x:v>实地走访调研林下经济等；参与石斛等生产；第6期举办墨脱农产品推介会</x:v>
      </x:c>
      <x:c r="L15" s="32" t="str">
        <x:v>本季阶段性完成，后续销量暂无可靠公开数据</x:v>
      </x:c>
      <x:c r="M15" s="32" t="str">
        <x:v>高</x:v>
      </x:c>
      <x:c r="N15" s="32" t="str">
        <x:v>https://www.chinanews.com.cn/cul/2026/05-28/10630451.shtml</x:v>
      </x:c>
    </x:row>
    <x:row r="16">
      <x:c r="A16" s="32" t="str">
        <x:v>E015</x:v>
      </x:c>
      <x:c r="B16" s="32" t="str">
        <x:v>李鹏（李老）/策勒治沙植枣产业</x:v>
      </x:c>
      <x:c r="C16" s="32" t="str">
        <x:v>治沙者/产业带</x:v>
      </x:c>
      <x:c r="D16" s="32" t="str">
        <x:v>新疆策勒</x:v>
      </x:c>
      <x:c r="E16" s="32" t="str">
        <x:v>种地吧S4 14期</x:v>
      </x:c>
      <x:c r="F16" s="32" t="str">
        <x:v>红枣</x:v>
      </x:c>
      <x:c r="G16" s="32" t="str">
        <x:v>沙漠治沙植枣形成产业，但积压库存超过300吨，需要快速打通销路</x:v>
      </x:c>
      <x:c r="H16" s="32" t="str">
        <x:v>4 长期伙伴</x:v>
      </x:c>
      <x:c r="I16" s="32" t="n">
        <x:f>COUNTIF('助农事件明细'!$E$2:$E$100,A16)</x:f>
        <x:v>3</x:v>
      </x:c>
      <x:c r="J16" s="32" t="str">
        <x:v>否</x:v>
      </x:c>
      <x:c r="K16" s="32" t="str">
        <x:v>研发红枣深加工；第17期助农直播1小时售出94吨；截至相关报道发布前企业店已售出超过200吨</x:v>
      </x:c>
      <x:c r="L16" s="32" t="str">
        <x:v>同季完成从诊断到销售的强闭环</x:v>
      </x:c>
      <x:c r="M16" s="32" t="str">
        <x:v>高</x:v>
      </x:c>
      <x:c r="N16" s="32" t="str">
        <x:v>https://news.cau.edu.cn/mtndnew/294c5976e377445787bf1e30a9bcd010.htm</x:v>
      </x:c>
    </x:row>
    <x:row r="17">
      <x:c r="A17" s="32" t="str">
        <x:v>E016</x:v>
      </x:c>
      <x:c r="B17" s="32" t="str">
        <x:v>买吐地一家/沙漠玫瑰种植户</x:v>
      </x:c>
      <x:c r="C17" s="32" t="str">
        <x:v>农户</x:v>
      </x:c>
      <x:c r="D17" s="32" t="str">
        <x:v>新疆于田等沙漠产区</x:v>
      </x:c>
      <x:c r="E17" s="32" t="str">
        <x:v>种地吧S4 7-10期</x:v>
      </x:c>
      <x:c r="F17" s="32" t="str">
        <x:v>沙漠玫瑰、玫瑰花馕</x:v>
      </x:c>
      <x:c r="G17" s="32" t="str">
        <x:v>荒漠农业建设与特色产品推广</x:v>
      </x:c>
      <x:c r="H17" s="32" t="str">
        <x:v>4 长期伙伴</x:v>
      </x:c>
      <x:c r="I17" s="32" t="n">
        <x:f>COUNTIF('助农事件明细'!$E$2:$E$100,A17)</x:f>
        <x:v>1</x:v>
      </x:c>
      <x:c r="J17" s="32" t="str">
        <x:v>否</x:v>
      </x:c>
      <x:c r="K17" s="32" t="str">
        <x:v>共同种沙漠玫瑰并回访生长情况；团队明确记住推广玫瑰花馕的后续心愿</x:v>
      </x:c>
      <x:c r="L17" s="32" t="str">
        <x:v>同季持续回访，合作未结束</x:v>
      </x:c>
      <x:c r="M17" s="32" t="str">
        <x:v>高</x:v>
      </x:c>
      <x:c r="N17" s="32" t="str">
        <x:v>https://news.cau.edu.cn/mtndnew/294c5976e377445787bf1e30a9bcd010.htm</x:v>
      </x:c>
    </x:row>
    <x:row r="18">
      <x:c r="A18" s="32" t="str">
        <x:v>E017</x:v>
      </x:c>
      <x:c r="B18" s="32" t="str">
        <x:v>加依村/肉孜村主任及治沙农户</x:v>
      </x:c>
      <x:c r="C18" s="32" t="str">
        <x:v>村庄/农户群体</x:v>
      </x:c>
      <x:c r="D18" s="32" t="str">
        <x:v>新疆塔克拉玛干沙漠边缘</x:v>
      </x:c>
      <x:c r="E18" s="32" t="str">
        <x:v>种地吧S4 11-13期</x:v>
      </x:c>
      <x:c r="F18" s="32" t="str">
        <x:v>治沙林木、光伏、节水农业</x:v>
      </x:c>
      <x:c r="G18" s="32" t="str">
        <x:v>风沙侵蚀，需要基础设施、节水与治沙体系</x:v>
      </x:c>
      <x:c r="H18" s="32" t="str">
        <x:v>3 合作</x:v>
      </x:c>
      <x:c r="I18" s="32" t="n">
        <x:f>COUNTIF('助农事件明细'!$E$2:$E$100,A18)</x:f>
        <x:v>1</x:v>
      </x:c>
      <x:c r="J18" s="32" t="str">
        <x:v>否</x:v>
      </x:c>
      <x:c r="K18" s="32" t="str">
        <x:v>参与推沙、打井、铺管、搭光伏；约12天后回访时100亩区域已出现沙枣苗和光伏设施</x:v>
      </x:c>
      <x:c r="L18" s="32" t="str">
        <x:v>同季回访验证进展</x:v>
      </x:c>
      <x:c r="M18" s="32" t="str">
        <x:v>高</x:v>
      </x:c>
      <x:c r="N18" s="32" t="str">
        <x:v>https://news.cau.edu.cn/mtndnew/294c5976e377445787bf1e30a9bcd010.htm</x:v>
      </x:c>
    </x:row>
    <x:row r="19">
      <x:c r="A19" s="32" t="str">
        <x:v>E018</x:v>
      </x:c>
      <x:c r="B19" s="32" t="str">
        <x:v>西双版纳受灾水果农户/合作方</x:v>
      </x:c>
      <x:c r="C19" s="32" t="str">
        <x:v>农户/产区群体</x:v>
      </x:c>
      <x:c r="D19" s="32" t="str">
        <x:v>云南西双版纳</x:v>
      </x:c>
      <x:c r="E19" s="32" t="str">
        <x:v>种地吧S4 29期</x:v>
      </x:c>
      <x:c r="F19" s="32" t="str">
        <x:v>芒果、菠萝、百香果等</x:v>
      </x:c>
      <x:c r="G19" s="32" t="str">
        <x:v>水果受灾并出现极低价格，面临集中销售危机</x:v>
      </x:c>
      <x:c r="H19" s="32" t="str">
        <x:v>2 直接帮扶</x:v>
      </x:c>
      <x:c r="I19" s="32" t="n">
        <x:f>COUNTIF('助农事件明细'!$E$2:$E$100,A19)</x:f>
        <x:v>1</x:v>
      </x:c>
      <x:c r="J19" s="32" t="str">
        <x:v>否</x:v>
      </x:c>
      <x:c r="K19" s="32" t="str">
        <x:v>团队实地了解灾情和价格并商讨水果危机对策；公开资料暂未找到最终销量</x:v>
      </x:c>
      <x:c r="L19" s="32" t="str">
        <x:v>待观察后续渠道方案</x:v>
      </x:c>
      <x:c r="M19" s="32" t="str">
        <x:v>高</x:v>
      </x:c>
      <x:c r="N19" s="32" t="str">
        <x:v>https://www.iqiyi.com/a_vnn1du4wil.html</x:v>
      </x:c>
    </x:row>
    <x:row r="20">
      <x:c r="A20" s="32" t="str">
        <x:v>E019</x:v>
      </x:c>
      <x:c r="B20" s="32" t="str">
        <x:v>云南胶工/橡胶产区</x:v>
      </x:c>
      <x:c r="C20" s="32" t="str">
        <x:v>农业从业者/产业带</x:v>
      </x:c>
      <x:c r="D20" s="32" t="str">
        <x:v>云南西双版纳等</x:v>
      </x:c>
      <x:c r="E20" s="32" t="str">
        <x:v>种地吧S4 21、30期</x:v>
      </x:c>
      <x:c r="F20" s="32" t="str">
        <x:v>天然橡胶</x:v>
      </x:c>
      <x:c r="G20" s="32" t="str">
        <x:v>初级原料产业的劳动价值、品牌化与规模化能力有提升空间</x:v>
      </x:c>
      <x:c r="H20" s="32" t="str">
        <x:v>2 产业调研</x:v>
      </x:c>
      <x:c r="I20" s="32" t="n">
        <x:f>COUNTIF('助农事件明细'!$E$2:$E$100,A20)</x:f>
        <x:v>1</x:v>
      </x:c>
      <x:c r="J20" s="32" t="str">
        <x:v>否</x:v>
      </x:c>
      <x:c r="K20" s="32" t="str">
        <x:v>学习割胶并提出打造当地规模化品牌的思路</x:v>
      </x:c>
      <x:c r="L20" s="32" t="str">
        <x:v>目前以调研和方案为主</x:v>
      </x:c>
      <x:c r="M20" s="32" t="str">
        <x:v>中高</x:v>
      </x:c>
      <x:c r="N20" s="32" t="str">
        <x:v>https://www.iqiyi.com/a_vnn1du4wil.html</x:v>
      </x:c>
    </x:row>
  </x:sheetData>
  <x:conditionalFormatting sqref="I2:I2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{715D7ECB-EBE7-E1C1-D99B-21374271151C}</x14:id>
        </x:ext>
      </x:extLst>
    </x:cfRule>
  </x:conditionalFormatting>
  <x:conditionalFormatting sqref="H2:H20">
    <x:cfRule type="colorScale" priority="2">
      <x:colorScale>
        <x:cfvo type="min"/>
        <x:cfvo type="percentile" val="50"/>
        <x:cfvo type="max"/>
        <x:color rgb="FFFDE9D9"/>
        <x:color rgb="FFFFF2CC"/>
        <x:color rgb="FFE2F0D9"/>
      </x:colorScale>
    </x:cfRule>
  </x:conditionalFormatting>
  <x:dataValidations count="1">
    <x:dataValidation type="list" sqref="M2:M20">
      <x:formula1>"高,中高,中,中低,低"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583c4844754c4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15D7ECB-EBE7-E1C1-D99B-21374271151C}">
            <x14:dataBar gradient="1">
              <x14:cfvo type="min"/>
              <x14:cfvo type="max"/>
              <x14:fillColor rgb="FFA02B93"/>
            </x14:dataBar>
          </x14:cfRule>
          <xm:sqref>I2:I20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14" hidden="0" customWidth="1"/>
    <x:col min="4" max="4" width="17" hidden="0" customWidth="1"/>
    <x:col min="5" max="5" width="9" hidden="0" customWidth="1"/>
    <x:col min="6" max="6" width="28" hidden="0" customWidth="1"/>
    <x:col min="7" max="7" width="15" hidden="0" customWidth="1"/>
    <x:col min="8" max="8" width="23" hidden="0" customWidth="1"/>
    <x:col min="9" max="9" width="42" hidden="0" customWidth="1"/>
    <x:col min="10" max="10" width="48" hidden="0" customWidth="1"/>
    <x:col min="11" max="11" width="50" hidden="0" customWidth="1"/>
    <x:col min="12" max="12" width="42" hidden="0" customWidth="1"/>
    <x:col min="13" max="13" width="12" hidden="0" customWidth="1"/>
    <x:col min="14" max="14" width="10" hidden="0" customWidth="1"/>
    <x:col min="15" max="15" width="10" hidden="0" customWidth="1"/>
    <x:col min="16" max="16" width="46" hidden="0" customWidth="1"/>
    <x:col min="17" max="17" width="46" hidden="0" customWidth="1"/>
    <x:col min="18" max="18" width="12" hidden="0" customWidth="1"/>
  </x:cols>
  <x:sheetData>
    <x:row r="1">
      <x:c r="A1" s="53" t="str">
        <x:v>事件ID</x:v>
      </x:c>
      <x:c r="B1" s="53" t="str">
        <x:v>时间/播出</x:v>
      </x:c>
      <x:c r="C1" s="53" t="str">
        <x:v>节目</x:v>
      </x:c>
      <x:c r="D1" s="53" t="str">
        <x:v>期数/节点</x:v>
      </x:c>
      <x:c r="E1" s="53" t="str">
        <x:v>实体ID</x:v>
      </x:c>
      <x:c r="F1" s="53" t="str">
        <x:v>实体/对象</x:v>
      </x:c>
      <x:c r="G1" s="53" t="str">
        <x:v>助农层级</x:v>
      </x:c>
      <x:c r="H1" s="53" t="str">
        <x:v>事件类型</x:v>
      </x:c>
      <x:c r="I1" s="53" t="str">
        <x:v>发现问题</x:v>
      </x:c>
      <x:c r="J1" s="53" t="str">
        <x:v>实际行动</x:v>
      </x:c>
      <x:c r="K1" s="53" t="str">
        <x:v>可验证结果</x:v>
      </x:c>
      <x:c r="L1" s="53" t="str">
        <x:v>后续/下一步</x:v>
      </x:c>
      <x:c r="M1" s="53" t="str">
        <x:v>回访/延续</x:v>
      </x:c>
      <x:c r="N1" s="53" t="str">
        <x:v>产品ID</x:v>
      </x:c>
      <x:c r="O1" s="53" t="str">
        <x:v>置信度</x:v>
      </x:c>
      <x:c r="P1" s="53" t="str">
        <x:v>来源1</x:v>
      </x:c>
      <x:c r="Q1" s="53" t="str">
        <x:v>来源2</x:v>
      </x:c>
      <x:c r="R1" s="61" t="str">
        <x:v>量化结果</x:v>
      </x:c>
    </x:row>
    <x:row r="2">
      <x:c r="A2" s="32" t="str">
        <x:v>EV001</x:v>
      </x:c>
      <x:c r="B2" s="32" t="str">
        <x:v>2024-03</x:v>
      </x:c>
      <x:c r="C2" s="32" t="str">
        <x:v>种地吧S2</x:v>
      </x:c>
      <x:c r="D2" s="32" t="str">
        <x:v>19-22期</x:v>
      </x:c>
      <x:c r="E2" s="32" t="str">
        <x:v>E002</x:v>
      </x:c>
      <x:c r="F2" s="32" t="str">
        <x:v>甘肃民勤治沙区农户/村民</x:v>
      </x:c>
      <x:c r="G2" s="32" t="str">
        <x:v>2 直接行动</x:v>
      </x:c>
      <x:c r="H2" s="32" t="str">
        <x:v>生态助农/治沙</x:v>
      </x:c>
      <x:c r="I2" s="32" t="str">
        <x:v>移动沙丘与荒漠生态压力</x:v>
      </x:c>
      <x:c r="J2" s="32" t="str">
        <x:v>自费购买梭梭苗；与当地干部、村民协作打坑、种植</x:v>
      </x:c>
      <x:c r="K2" s="54" t="str">
        <x:v>累计种植约18万棵梭梭、占地超500亩；相关种树直播观看超1200万</x:v>
      </x:c>
      <x:c r="L2" s="54" t="str">
        <x:v>与当地产业、人参果助农衔接</x:v>
      </x:c>
      <x:c r="M2" s="54" t="str">
        <x:v>否</x:v>
      </x:c>
      <x:c r="N2" s="32" t="str">
        <x:v>P001</x:v>
      </x:c>
      <x:c r="O2" s="32" t="str">
        <x:v>高</x:v>
      </x:c>
      <x:c r="P2" s="32" t="str">
        <x:v>https://pages.iqiyi.com/p/zbs/news2024031302.html</x:v>
      </x:c>
      <x:c r="Q2" s="32" t="str">
        <x:v>https://www.iqiyi.com/a_wbm9c2d5c9.html</x:v>
      </x:c>
      <x:c r="R2" s="16" t="str">
        <x:v>是</x:v>
      </x:c>
    </x:row>
    <x:row r="3">
      <x:c r="A3" s="32" t="str">
        <x:v>EV002</x:v>
      </x:c>
      <x:c r="B3" s="32" t="str">
        <x:v>2024-04~05</x:v>
      </x:c>
      <x:c r="C3" s="32" t="str">
        <x:v>种地吧S2</x:v>
      </x:c>
      <x:c r="D3" s="32" t="str">
        <x:v>21-22期</x:v>
      </x:c>
      <x:c r="E3" s="32" t="str">
        <x:v>E004</x:v>
      </x:c>
      <x:c r="F3" s="32" t="str">
        <x:v>民勤人参果种植者</x:v>
      </x:c>
      <x:c r="G3" s="32" t="str">
        <x:v>2 直接行动</x:v>
      </x:c>
      <x:c r="H3" s="32" t="str">
        <x:v>直播助农</x:v>
      </x:c>
      <x:c r="I3" s="32" t="str">
        <x:v>地方人参果需要更多曝光和销售渠道</x:v>
      </x:c>
      <x:c r="J3" s="32" t="str">
        <x:v>了解产业并做助农直播</x:v>
      </x:c>
      <x:c r="K3" s="54" t="str">
        <x:v>公开资料确认直播发生，未找到可靠销售量</x:v>
      </x:c>
      <x:c r="L3" s="54" t="str">
        <x:v>与民勤治沙行动形成生态+产业闭环</x:v>
      </x:c>
      <x:c r="M3" s="54" t="str">
        <x:v>否</x:v>
      </x:c>
      <x:c r="N3" s="32" t="str">
        <x:v>P001</x:v>
      </x:c>
      <x:c r="O3" s="32" t="str">
        <x:v>中高</x:v>
      </x:c>
      <x:c r="P3" s="32" t="str">
        <x:v>https://www.iqiyi.com/a_wbm9c2d5c9.html</x:v>
      </x:c>
      <x:c r="Q3" s="32" t="str"/>
      <x:c r="R3" s="16" t="str">
        <x:v>否</x:v>
      </x:c>
    </x:row>
    <x:row r="4">
      <x:c r="A4" s="32" t="str">
        <x:v>EV003</x:v>
      </x:c>
      <x:c r="B4" s="32" t="str">
        <x:v>2024-05~06</x:v>
      </x:c>
      <x:c r="C4" s="32" t="str">
        <x:v>种地吧S2</x:v>
      </x:c>
      <x:c r="D4" s="32" t="str">
        <x:v>26、32期</x:v>
      </x:c>
      <x:c r="E4" s="32" t="str">
        <x:v>E001</x:v>
      </x:c>
      <x:c r="F4" s="32" t="str">
        <x:v>后陡门周边果农</x:v>
      </x:c>
      <x:c r="G4" s="32" t="str">
        <x:v>3 合作</x:v>
      </x:c>
      <x:c r="H4" s="32" t="str">
        <x:v>采购/加工助农</x:v>
      </x:c>
      <x:c r="I4" s="32" t="str">
        <x:v>周边草莓销路及十个勤天加工原料需求</x:v>
      </x:c>
      <x:c r="J4" s="32" t="str">
        <x:v>考虑并实施周边草莓采购，用于草莓酱加工</x:v>
      </x:c>
      <x:c r="K4" s="54" t="str">
        <x:v>形成“外采农产→加工→销售”的供应链思路</x:v>
      </x:c>
      <x:c r="L4" s="54" t="str">
        <x:v>成为S3产地采购/乡村合伙人的前置经验</x:v>
      </x:c>
      <x:c r="M4" s="54" t="str">
        <x:v>否</x:v>
      </x:c>
      <x:c r="N4" s="32" t="str">
        <x:v>P002</x:v>
      </x:c>
      <x:c r="O4" s="32" t="str">
        <x:v>中高</x:v>
      </x:c>
      <x:c r="P4" s="32" t="str">
        <x:v>https://pages.iqiyi.com/p/zbs/news20240223.html</x:v>
      </x:c>
      <x:c r="Q4" s="32" t="str">
        <x:v>https://www.iq.com/play/%E7%A7%8D%E5%9C%B0%E5%90%A7%E7%AC%AC2%E5%AD%A3-2024-6-14-17qbfofq3zk?lang=zh_cn</x:v>
      </x:c>
      <x:c r="R4" s="16" t="str">
        <x:v>否</x:v>
      </x:c>
    </x:row>
    <x:row r="5">
      <x:c r="A5" s="32" t="str">
        <x:v>EV004</x:v>
      </x:c>
      <x:c r="B5" s="32" t="str">
        <x:v>2024-06</x:v>
      </x:c>
      <x:c r="C5" s="32" t="str">
        <x:v>种地吧S2</x:v>
      </x:c>
      <x:c r="D5" s="32" t="str">
        <x:v>37期</x:v>
      </x:c>
      <x:c r="E5" s="32" t="str">
        <x:v>E013</x:v>
      </x:c>
      <x:c r="F5" s="32" t="str">
        <x:v>爱侬日/全国新农人网络</x:v>
      </x:c>
      <x:c r="G5" s="32" t="str">
        <x:v>3 合作</x:v>
      </x:c>
      <x:c r="H5" s="32" t="str">
        <x:v>平台/直播</x:v>
      </x:c>
      <x:c r="I5" s="32" t="str">
        <x:v>新农人缺集中交流和产品展示场</x:v>
      </x:c>
      <x:c r="J5" s="32" t="str">
        <x:v>举办518爱侬日论坛并直播销售多款自有/合作农产品</x:v>
      </x:c>
      <x:c r="K5" s="54" t="str">
        <x:v>形成系列助农IP雏形；S3进一步升级</x:v>
      </x:c>
      <x:c r="L5" s="54" t="str">
        <x:v>S3第二届爱侬日升级为全国联动</x:v>
      </x:c>
      <x:c r="M5" s="54" t="str">
        <x:v>是</x:v>
      </x:c>
      <x:c r="N5" s="32" t="str">
        <x:v>P008</x:v>
      </x:c>
      <x:c r="O5" s="32" t="str">
        <x:v>高</x:v>
      </x:c>
      <x:c r="P5" s="32" t="str">
        <x:v>https://www.iq.com/play/%E7%A7%8D%E5%9C%B0%E5%90%A7%E7%AC%AC2%E5%AD%A3-2024-6-28-1rb60qzyins?lang=zh_cn</x:v>
      </x:c>
      <x:c r="Q5" s="32" t="str">
        <x:v>https://pages.iqiyi.com/p/zbs/news20240223.html</x:v>
      </x:c>
      <x:c r="R5" s="16" t="str">
        <x:v>否</x:v>
      </x:c>
    </x:row>
    <x:row r="6">
      <x:c r="A6" s="32" t="str">
        <x:v>EV005</x:v>
      </x:c>
      <x:c r="B6" s="32" t="str">
        <x:v>2024-07</x:v>
      </x:c>
      <x:c r="C6" s="32" t="str">
        <x:v>种地吧S2</x:v>
      </x:c>
      <x:c r="D6" s="32" t="str">
        <x:v>38期</x:v>
      </x:c>
      <x:c r="E6" s="32" t="str">
        <x:v>E005</x:v>
      </x:c>
      <x:c r="F6" s="32" t="str">
        <x:v>缙云仁岸村/仙居杨梅农户</x:v>
      </x:c>
      <x:c r="G6" s="32" t="str">
        <x:v>3 合作</x:v>
      </x:c>
      <x:c r="H6" s="32" t="str">
        <x:v>产地采购</x:v>
      </x:c>
      <x:c r="I6" s="32" t="str">
        <x:v>杨梅需要稳定采购与渠道</x:v>
      </x:c>
      <x:c r="J6" s="32" t="str">
        <x:v>赴产地考察并与村方/农户谈采购</x:v>
      </x:c>
      <x:c r="K6" s="54" t="str">
        <x:v>建立直接产地采购关系/意向</x:v>
      </x:c>
      <x:c r="L6" s="54" t="str">
        <x:v>成为S3、S4“走进产区找方案”的前身</x:v>
      </x:c>
      <x:c r="M6" s="54" t="str">
        <x:v>否</x:v>
      </x:c>
      <x:c r="N6" s="32" t="str">
        <x:v>P003</x:v>
      </x:c>
      <x:c r="O6" s="32" t="str">
        <x:v>中高</x:v>
      </x:c>
      <x:c r="P6" s="32" t="str">
        <x:v>https://www.iqiyi.com/a_1ob6ur0upnl.html</x:v>
      </x:c>
      <x:c r="Q6" s="32" t="str"/>
      <x:c r="R6" s="16" t="str">
        <x:v>否</x:v>
      </x:c>
    </x:row>
    <x:row r="7">
      <x:c r="A7" s="32" t="str">
        <x:v>EV006</x:v>
      </x:c>
      <x:c r="B7" s="32" t="str">
        <x:v>2024-04~05</x:v>
      </x:c>
      <x:c r="C7" s="32" t="str">
        <x:v>种地吧S2</x:v>
      </x:c>
      <x:c r="D7" s="32" t="str">
        <x:v>21期附近</x:v>
      </x:c>
      <x:c r="E7" s="32" t="str">
        <x:v>E003</x:v>
      </x:c>
      <x:c r="F7" s="32" t="str">
        <x:v>仲麟</x:v>
      </x:c>
      <x:c r="G7" s="32" t="str">
        <x:v>1 关系建立</x:v>
      </x:c>
      <x:c r="H7" s="32" t="str">
        <x:v>新农人传播/合作</x:v>
      </x:c>
      <x:c r="I7" s="32" t="str">
        <x:v>返乡治沙创业需要长期社会关注</x:v>
      </x:c>
      <x:c r="J7" s="32" t="str">
        <x:v>了解其返乡创业与梭梭种植经历并共同劳动</x:v>
      </x:c>
      <x:c r="K7" s="54" t="str">
        <x:v>关系延续至S3麦田音乐会</x:v>
      </x:c>
      <x:c r="L7" s="54" t="str">
        <x:v>S3第39期再次出现</x:v>
      </x:c>
      <x:c r="M7" s="54" t="str">
        <x:v>是</x:v>
      </x:c>
      <x:c r="N7" s="32" t="str">
        <x:v>P001</x:v>
      </x:c>
      <x:c r="O7" s="32" t="str">
        <x:v>高</x:v>
      </x:c>
      <x:c r="P7" s="32" t="str">
        <x:v>https://www.iqiyi.com/a_wbm9c2d5c9.html</x:v>
      </x:c>
      <x:c r="Q7" s="32" t="str">
        <x:v>https://www.iqiyi.com/a_1m6mg3fkjcd.html</x:v>
      </x:c>
      <x:c r="R7" s="16" t="str">
        <x:v>否</x:v>
      </x:c>
    </x:row>
    <x:row r="8">
      <x:c r="A8" s="32" t="str">
        <x:v>EV007</x:v>
      </x:c>
      <x:c r="B8" s="32" t="str">
        <x:v>2025-03</x:v>
      </x:c>
      <x:c r="C8" s="32" t="str">
        <x:v>种地吧S3</x:v>
      </x:c>
      <x:c r="D8" s="32" t="str">
        <x:v>2-7期</x:v>
      </x:c>
      <x:c r="E8" s="32" t="str">
        <x:v>E006</x:v>
      </x:c>
      <x:c r="F8" s="32" t="str">
        <x:v>高克新（高叔）及林口沙棘伙伴</x:v>
      </x:c>
      <x:c r="G8" s="32" t="str">
        <x:v>2 直接行动</x:v>
      </x:c>
      <x:c r="H8" s="32" t="str">
        <x:v>劳动助农/产品研发</x:v>
      </x:c>
      <x:c r="I8" s="32" t="str">
        <x:v>沙棘采收困难、原料附加值有限</x:v>
      </x:c>
      <x:c r="J8" s="32" t="str">
        <x:v>零下29℃采收沙棘；尝试沙棘皂等产品开发</x:v>
      </x:c>
      <x:c r="K8" s="54" t="str">
        <x:v>沙棘皂进入后续展销和爱侬日</x:v>
      </x:c>
      <x:c r="L8" s="54" t="str">
        <x:v>继续升级为乡村合伙人机制</x:v>
      </x:c>
      <x:c r="M8" s="54" t="str">
        <x:v>否</x:v>
      </x:c>
      <x:c r="N8" s="32" t="str">
        <x:v>P004</x:v>
      </x:c>
      <x:c r="O8" s="32" t="str">
        <x:v>高</x:v>
      </x:c>
      <x:c r="P8" s="32" t="str">
        <x:v>https://pages.iqiyi.com/p/zbs/news20250715.html</x:v>
      </x:c>
      <x:c r="Q8" s="32" t="str">
        <x:v>https://pages.iqiyi.com/p/zy/zhongdiba3.html</x:v>
      </x:c>
      <x:c r="R8" s="16" t="str">
        <x:v>否</x:v>
      </x:c>
    </x:row>
    <x:row r="9">
      <x:c r="A9" s="32" t="str">
        <x:v>EV008</x:v>
      </x:c>
      <x:c r="B9" s="32" t="str">
        <x:v>2025-03</x:v>
      </x:c>
      <x:c r="C9" s="32" t="str">
        <x:v>种地吧S3</x:v>
      </x:c>
      <x:c r="D9" s="32" t="str">
        <x:v>7-10期</x:v>
      </x:c>
      <x:c r="E9" s="32" t="str">
        <x:v>E007</x:v>
      </x:c>
      <x:c r="F9" s="32" t="str">
        <x:v>林口乡村合伙人群体</x:v>
      </x:c>
      <x:c r="G9" s="32" t="str">
        <x:v>3 合作</x:v>
      </x:c>
      <x:c r="H9" s="32" t="str">
        <x:v>乡村合伙人/利益共享</x:v>
      </x:c>
      <x:c r="I9" s="32" t="str">
        <x:v>一次性带货难形成长期收益</x:v>
      </x:c>
      <x:c r="J9" s="32" t="str">
        <x:v>发起乡村合伙人计划；组织农产品展销</x:v>
      </x:c>
      <x:c r="K9" s="54" t="str">
        <x:v>展销后给乡村合伙人分红</x:v>
      </x:c>
      <x:c r="L9" s="54" t="str">
        <x:v>从短期帮扶转为利益共享机制</x:v>
      </x:c>
      <x:c r="M9" s="54" t="str">
        <x:v>是</x:v>
      </x:c>
      <x:c r="N9" s="32" t="str">
        <x:v>P004</x:v>
      </x:c>
      <x:c r="O9" s="32" t="str">
        <x:v>高</x:v>
      </x:c>
      <x:c r="P9" s="32" t="str">
        <x:v>https://pages.iqiyi.com/p/zy/zhongdiba3.html</x:v>
      </x:c>
      <x:c r="Q9" s="32" t="str">
        <x:v>https://pages.iqiyi.com/p/zbs/news20250715.html</x:v>
      </x:c>
      <x:c r="R9" s="16" t="str">
        <x:v>否</x:v>
      </x:c>
    </x:row>
    <x:row r="10">
      <x:c r="A10" s="32" t="str">
        <x:v>EV009</x:v>
      </x:c>
      <x:c r="B10" s="32" t="str">
        <x:v>2025-02</x:v>
      </x:c>
      <x:c r="C10" s="32" t="str">
        <x:v>种地吧S3</x:v>
      </x:c>
      <x:c r="D10" s="32" t="str">
        <x:v>第1期</x:v>
      </x:c>
      <x:c r="E10" s="32" t="str">
        <x:v>E008</x:v>
      </x:c>
      <x:c r="F10" s="32" t="str">
        <x:v>成林</x:v>
      </x:c>
      <x:c r="G10" s="32" t="str">
        <x:v>1 诊断</x:v>
      </x:c>
      <x:c r="H10" s="32" t="str">
        <x:v>产地调研</x:v>
      </x:c>
      <x:c r="I10" s="32" t="str">
        <x:v>高原大棚缺水缺电；本地新鲜蔬菜供应困难</x:v>
      </x:c>
      <x:c r="J10" s="32" t="str">
        <x:v>首访大棚并承诺带技术回来</x:v>
      </x:c>
      <x:c r="K10" s="54" t="str">
        <x:v>形成二次回访改造计划</x:v>
      </x:c>
      <x:c r="L10" s="54" t="str">
        <x:v>第17-20期回访改造</x:v>
      </x:c>
      <x:c r="M10" s="54" t="str">
        <x:v>是</x:v>
      </x:c>
      <x:c r="N10" s="32" t="str">
        <x:v>P005</x:v>
      </x:c>
      <x:c r="O10" s="32" t="str">
        <x:v>高</x:v>
      </x:c>
      <x:c r="P10" s="32" t="str">
        <x:v>https://www.qh.chinanews.com.cn/sh/news/2025/0321/133704.html</x:v>
      </x:c>
      <x:c r="Q10" s="32" t="str">
        <x:v>https://www.iqiyi.com/a_1m6mg3fkjcd.html</x:v>
      </x:c>
      <x:c r="R10" s="16" t="str">
        <x:v>否</x:v>
      </x:c>
    </x:row>
    <x:row r="11">
      <x:c r="A11" s="32" t="str">
        <x:v>EV010</x:v>
      </x:c>
      <x:c r="B11" s="32" t="str">
        <x:v>2025-02</x:v>
      </x:c>
      <x:c r="C11" s="32" t="str">
        <x:v>种地吧S3</x:v>
      </x:c>
      <x:c r="D11" s="32" t="str">
        <x:v>第1期</x:v>
      </x:c>
      <x:c r="E11" s="32" t="str">
        <x:v>E009</x:v>
      </x:c>
      <x:c r="F11" s="32" t="str">
        <x:v>更确木兰/藏医药职业学校</x:v>
      </x:c>
      <x:c r="G11" s="32" t="str">
        <x:v>1 诊断</x:v>
      </x:c>
      <x:c r="H11" s="32" t="str">
        <x:v>产业/教育调研</x:v>
      </x:c>
      <x:c r="I11" s="32" t="str">
        <x:v>芫根产业收入承担学校运营与藏医传承，但产品/渠道有限</x:v>
      </x:c>
      <x:c r="J11" s="32" t="str">
        <x:v>带走芫根样品，研究产品与渠道</x:v>
      </x:c>
      <x:c r="K11" s="54" t="str">
        <x:v>触发3月12日芫根助农直播及后续产品优化</x:v>
      </x:c>
      <x:c r="L11" s="54" t="str">
        <x:v>多次回访、爱侬日和自主直播</x:v>
      </x:c>
      <x:c r="M11" s="54" t="str">
        <x:v>是</x:v>
      </x:c>
      <x:c r="N11" s="32" t="str">
        <x:v>P005</x:v>
      </x:c>
      <x:c r="O11" s="32" t="str">
        <x:v>高</x:v>
      </x:c>
      <x:c r="P11" s="32" t="str">
        <x:v>https://www.qh.chinanews.com.cn/sh/news/2025/0321/133704.html</x:v>
      </x:c>
      <x:c r="Q11" s="32" t="str">
        <x:v>https://www.iqiyi.com/a_1m6mg3fkjcd.html</x:v>
      </x:c>
      <x:c r="R11" s="16" t="str">
        <x:v>否</x:v>
      </x:c>
    </x:row>
    <x:row r="12">
      <x:c r="A12" s="32" t="str">
        <x:v>EV011</x:v>
      </x:c>
      <x:c r="B12" s="32" t="str">
        <x:v>2025-03-12</x:v>
      </x:c>
      <x:c r="C12" s="32" t="str">
        <x:v>种地吧S3</x:v>
      </x:c>
      <x:c r="D12" s="32" t="str">
        <x:v>节目联动直播</x:v>
      </x:c>
      <x:c r="E12" s="32" t="str">
        <x:v>E009</x:v>
      </x:c>
      <x:c r="F12" s="32" t="str">
        <x:v>更确木兰/藏医药职业学校</x:v>
      </x:c>
      <x:c r="G12" s="32" t="str">
        <x:v>3 合作</x:v>
      </x:c>
      <x:c r="H12" s="32" t="str">
        <x:v>直播助农</x:v>
      </x:c>
      <x:c r="I12" s="32" t="str">
        <x:v>芫根产品需要市场验证与现金流</x:v>
      </x:c>
      <x:c r="J12" s="32" t="str">
        <x:v>平台助农推广直播</x:v>
      </x:c>
      <x:c r="K12" s="54" t="str">
        <x:v>单平台近200万人观看；3万件产品上架1秒售罄；销售额超190万元</x:v>
      </x:c>
      <x:c r="L12" s="54" t="str">
        <x:v>第17期带新口味回校并继续生产</x:v>
      </x:c>
      <x:c r="M12" s="54" t="str">
        <x:v>是</x:v>
      </x:c>
      <x:c r="N12" s="32" t="str">
        <x:v>P005</x:v>
      </x:c>
      <x:c r="O12" s="32" t="str">
        <x:v>高</x:v>
      </x:c>
      <x:c r="P12" s="32" t="str">
        <x:v>https://www.qh.chinanews.com.cn/sh/news/2025/0321/133704.html</x:v>
      </x:c>
      <x:c r="Q12" s="32" t="str"/>
      <x:c r="R12" s="16" t="str">
        <x:v>是</x:v>
      </x:c>
    </x:row>
    <x:row r="13">
      <x:c r="A13" s="32" t="str">
        <x:v>EV012</x:v>
      </x:c>
      <x:c r="B13" s="32" t="str">
        <x:v>2025-02~05</x:v>
      </x:c>
      <x:c r="C13" s="32" t="str">
        <x:v>种地吧S3</x:v>
      </x:c>
      <x:c r="D13" s="32" t="str">
        <x:v>首期、21期附近</x:v>
      </x:c>
      <x:c r="E13" s="32" t="str">
        <x:v>E010</x:v>
      </x:c>
      <x:c r="F13" s="32" t="str">
        <x:v>江羊巴桑及白扎盐场盐工</x:v>
      </x:c>
      <x:c r="G13" s="32" t="str">
        <x:v>3 合作</x:v>
      </x:c>
      <x:c r="H13" s="32" t="str">
        <x:v>产地采购/传统技艺</x:v>
      </x:c>
      <x:c r="I13" s="32" t="str">
        <x:v>传统制盐需要传承，也需要扩大外部市场</x:v>
      </x:c>
      <x:c r="J13" s="32" t="str">
        <x:v>首访盐场；后续与盐场达成初步合作并下订首批红盐白盐</x:v>
      </x:c>
      <x:c r="K13" s="54" t="str">
        <x:v>产品进入节目助农供应链</x:v>
      </x:c>
      <x:c r="L13" s="54" t="str">
        <x:v>S4跨季回访验证产业增收</x:v>
      </x:c>
      <x:c r="M13" s="54" t="str">
        <x:v>是</x:v>
      </x:c>
      <x:c r="N13" s="32" t="str">
        <x:v>P006</x:v>
      </x:c>
      <x:c r="O13" s="32" t="str">
        <x:v>高</x:v>
      </x:c>
      <x:c r="P13" s="32" t="str">
        <x:v>https://www.qh.chinanews.com.cn/sh/news/2025/0321/133704.html</x:v>
      </x:c>
      <x:c r="Q13" s="32" t="str">
        <x:v>https://pages.iqiyi.com/p/zy/zhongdiba3.html</x:v>
      </x:c>
      <x:c r="R13" s="16" t="str">
        <x:v>否</x:v>
      </x:c>
    </x:row>
    <x:row r="14">
      <x:c r="A14" s="32" t="str">
        <x:v>EV013</x:v>
      </x:c>
      <x:c r="B14" s="32" t="str">
        <x:v>2025-04~05</x:v>
      </x:c>
      <x:c r="C14" s="32" t="str">
        <x:v>种地吧S3</x:v>
      </x:c>
      <x:c r="D14" s="32" t="str">
        <x:v>17-20期</x:v>
      </x:c>
      <x:c r="E14" s="32" t="str">
        <x:v>E008</x:v>
      </x:c>
      <x:c r="F14" s="32" t="str">
        <x:v>成林</x:v>
      </x:c>
      <x:c r="G14" s="32" t="str">
        <x:v>3 合作</x:v>
      </x:c>
      <x:c r="H14" s="32" t="str">
        <x:v>基建/技术助农</x:v>
      </x:c>
      <x:c r="I14" s="32" t="str">
        <x:v>高原大棚水电和种植方式不适配</x:v>
      </x:c>
      <x:c r="J14" s="32" t="str">
        <x:v>返回娘拉乡，改造水培大棚，铺设水培设施并应对暴风雪</x:v>
      </x:c>
      <x:c r="K14" s="54" t="str">
        <x:v>“拾穗者联盟”水培大棚建成</x:v>
      </x:c>
      <x:c r="L14" s="54" t="str">
        <x:v>S4回访验证技术扩散</x:v>
      </x:c>
      <x:c r="M14" s="54" t="str">
        <x:v>是</x:v>
      </x:c>
      <x:c r="N14" s="32" t="str">
        <x:v>P005</x:v>
      </x:c>
      <x:c r="O14" s="32" t="str">
        <x:v>高</x:v>
      </x:c>
      <x:c r="P14" s="32" t="str">
        <x:v>https://www.iq.com/play/%E7%A7%8D%E5%9C%B0%E5%90%A7%E7%AC%AC3%E5%AD%A3-2025-5-2-1lf6asj09ls?lang=zh_cn</x:v>
      </x:c>
      <x:c r="Q14" s="32" t="str">
        <x:v>https://news.cau.edu.cn/mtndnew/294c5976e377445787bf1e30a9bcd010.htm</x:v>
      </x:c>
      <x:c r="R14" s="16" t="str">
        <x:v>否</x:v>
      </x:c>
    </x:row>
    <x:row r="15">
      <x:c r="A15" s="32" t="str">
        <x:v>EV014</x:v>
      </x:c>
      <x:c r="B15" s="32" t="str">
        <x:v>2025-04</x:v>
      </x:c>
      <x:c r="C15" s="32" t="str">
        <x:v>种地吧S3</x:v>
      </x:c>
      <x:c r="D15" s="32" t="str">
        <x:v>17期</x:v>
      </x:c>
      <x:c r="E15" s="32" t="str">
        <x:v>E009</x:v>
      </x:c>
      <x:c r="F15" s="32" t="str">
        <x:v>更确木兰/藏医药职业学校</x:v>
      </x:c>
      <x:c r="G15" s="32" t="str">
        <x:v>3 合作</x:v>
      </x:c>
      <x:c r="H15" s="32" t="str">
        <x:v>产品迭代/生产</x:v>
      </x:c>
      <x:c r="I15" s="32" t="str">
        <x:v>芫根饮料需要新口味并恢复/提高生产</x:v>
      </x:c>
      <x:c r="J15" s="32" t="str">
        <x:v>带回新芫根产品口味，与全校师生清洗芫根并启动生产机器</x:v>
      </x:c>
      <x:c r="K15" s="54" t="str">
        <x:v>产品迭代并恢复生产场景</x:v>
      </x:c>
      <x:c r="L15" s="54" t="str">
        <x:v>S3爱侬日、S4重返学校</x:v>
      </x:c>
      <x:c r="M15" s="54" t="str">
        <x:v>是</x:v>
      </x:c>
      <x:c r="N15" s="32" t="str">
        <x:v>P005</x:v>
      </x:c>
      <x:c r="O15" s="32" t="str">
        <x:v>高</x:v>
      </x:c>
      <x:c r="P15" s="32" t="str">
        <x:v>https://www.iq.com/play/%E7%A7%8D%E5%9C%B0%E5%90%A7%E7%AC%AC3%E5%AD%A3-2025-4-25-2bh3dol2qag?lang=zh_cn</x:v>
      </x:c>
      <x:c r="Q15" s="32" t="str">
        <x:v>https://www.qh.chinanews.com.cn/sh/news/2025/0321/133704.html</x:v>
      </x:c>
      <x:c r="R15" s="16" t="str">
        <x:v>否</x:v>
      </x:c>
    </x:row>
    <x:row r="16">
      <x:c r="A16" s="32" t="str">
        <x:v>EV015</x:v>
      </x:c>
      <x:c r="B16" s="32" t="str">
        <x:v>2025-03~06</x:v>
      </x:c>
      <x:c r="C16" s="32" t="str">
        <x:v>种地吧S3</x:v>
      </x:c>
      <x:c r="D16" s="32" t="str">
        <x:v>5-6期及24期附近</x:v>
      </x:c>
      <x:c r="E16" s="32" t="str">
        <x:v>E012</x:v>
      </x:c>
      <x:c r="F16" s="32" t="str">
        <x:v>宁乡花猪农户/贺大姐等</x:v>
      </x:c>
      <x:c r="G16" s="32" t="str">
        <x:v>2 直接行动</x:v>
      </x:c>
      <x:c r="H16" s="32" t="str">
        <x:v>市场调研/品牌助农</x:v>
      </x:c>
      <x:c r="I16" s="32" t="str">
        <x:v>花猪肉价格高，成熟渠道供应链壁垒强</x:v>
      </x:c>
      <x:c r="J16" s="32" t="str">
        <x:v>参加花猪节、进养殖场、走访线下市场和合作品牌，寻找长线方案</x:v>
      </x:c>
      <x:c r="K16" s="54" t="str">
        <x:v>官方收官称通过品牌赋能拓宽宁乡花猪销路</x:v>
      </x:c>
      <x:c r="L16" s="54" t="str">
        <x:v>爱侬日库存快速售罄，伙伴参加收官</x:v>
      </x:c>
      <x:c r="M16" s="54" t="str">
        <x:v>是</x:v>
      </x:c>
      <x:c r="N16" s="32" t="str">
        <x:v>P007</x:v>
      </x:c>
      <x:c r="O16" s="32" t="str">
        <x:v>高</x:v>
      </x:c>
      <x:c r="P16" s="32" t="str">
        <x:v>https://www.iq.com/play/%E7%A7%8D%E5%9C%B0%E5%90%A7%E7%AC%AC3%E5%AD%A3-2025-5-17-16z8iap41bc?lang=zh_cn</x:v>
      </x:c>
      <x:c r="Q16" s="32" t="str">
        <x:v>https://pages.iqiyi.com/p/zbs/news20250715.html</x:v>
      </x:c>
      <x:c r="R16" s="16" t="str">
        <x:v>否</x:v>
      </x:c>
    </x:row>
    <x:row r="17">
      <x:c r="A17" s="32" t="str">
        <x:v>EV016</x:v>
      </x:c>
      <x:c r="B17" s="32" t="str">
        <x:v>2025-05-17~18</x:v>
      </x:c>
      <x:c r="C17" s="32" t="str">
        <x:v>种地吧S3</x:v>
      </x:c>
      <x:c r="D17" s="32" t="str">
        <x:v>36期附近/爱侬日</x:v>
      </x:c>
      <x:c r="E17" s="32" t="str">
        <x:v>E013</x:v>
      </x:c>
      <x:c r="F17" s="32" t="str">
        <x:v>爱侬日/全国新农人网络</x:v>
      </x:c>
      <x:c r="G17" s="32" t="str">
        <x:v>4 长期机制</x:v>
      </x:c>
      <x:c r="H17" s="32" t="str">
        <x:v>平台助农/直播</x:v>
      </x:c>
      <x:c r="I17" s="32" t="str">
        <x:v>需要把单点助农扩展为全国农文旅协同</x:v>
      </x:c>
      <x:c r="J17" s="32" t="str">
        <x:v>爱侬研讨会+“1+N”直播，联动全国农文旅直播间</x:v>
      </x:c>
      <x:c r="K17" s="54" t="str">
        <x:v>联动15家直播间、展销300余款农产品、全平台累计观看超1.4亿；芫根粉上线即售罄</x:v>
      </x:c>
      <x:c r="L17" s="54" t="str">
        <x:v>形成系列规模最大的助农平台节点</x:v>
      </x:c>
      <x:c r="M17" s="54" t="str">
        <x:v>是</x:v>
      </x:c>
      <x:c r="N17" s="32" t="str">
        <x:v>P008</x:v>
      </x:c>
      <x:c r="O17" s="32" t="str">
        <x:v>高</x:v>
      </x:c>
      <x:c r="P17" s="32" t="str">
        <x:v>https://pages.iqiyi.com/p/zbs/news20250715.html</x:v>
      </x:c>
      <x:c r="Q17" s="32" t="str">
        <x:v>https://wap.yzwb.net/news_details.html?id=4515542</x:v>
      </x:c>
      <x:c r="R17" s="16" t="str">
        <x:v>是</x:v>
      </x:c>
    </x:row>
    <x:row r="18">
      <x:c r="A18" s="32" t="str">
        <x:v>EV017</x:v>
      </x:c>
      <x:c r="B18" s="32" t="str">
        <x:v>2025-07</x:v>
      </x:c>
      <x:c r="C18" s="32" t="str">
        <x:v>种地吧S3</x:v>
      </x:c>
      <x:c r="D18" s="32" t="str">
        <x:v>39期</x:v>
      </x:c>
      <x:c r="E18" s="32" t="str">
        <x:v>E003</x:v>
      </x:c>
      <x:c r="F18" s="32" t="str">
        <x:v>仲麟</x:v>
      </x:c>
      <x:c r="G18" s="32" t="str">
        <x:v>4 长期机制</x:v>
      </x:c>
      <x:c r="H18" s="32" t="str">
        <x:v>关系回访</x:v>
      </x:c>
      <x:c r="I18" s="32" t="str">
        <x:v>需要证明助农对象不是一次性出现</x:v>
      </x:c>
      <x:c r="J18" s="32" t="str">
        <x:v>仲麟与高叔高婶、木兰校长、贺大姐等到后陡门参加麦田音乐会和助农回顾</x:v>
      </x:c>
      <x:c r="K18" s="54" t="str">
        <x:v>S2民勤伙伴跨季返场</x:v>
      </x:c>
      <x:c r="L18" s="54" t="str">
        <x:v>持续关系得到节目内确认</x:v>
      </x:c>
      <x:c r="M18" s="54" t="str">
        <x:v>是</x:v>
      </x:c>
      <x:c r="N18" s="32" t="str">
        <x:v>P001</x:v>
      </x:c>
      <x:c r="O18" s="32" t="str">
        <x:v>高</x:v>
      </x:c>
      <x:c r="P18" s="32" t="str">
        <x:v>https://www.iqiyi.com/a_1m6mg3fkjcd.html</x:v>
      </x:c>
      <x:c r="Q18" s="32" t="str">
        <x:v>https://www.iq.com/play/%E7%A7%8D%E5%9C%B0%E5%90%A7%E7%AC%AC3%E5%AD%A3-2025-7-11-1e5r7wq811k?lang=zh_cn</x:v>
      </x:c>
      <x:c r="R18" s="16" t="str">
        <x:v>否</x:v>
      </x:c>
    </x:row>
    <x:row r="19">
      <x:c r="A19" s="32" t="str">
        <x:v>EV018</x:v>
      </x:c>
      <x:c r="B19" s="32" t="str">
        <x:v>2025-07</x:v>
      </x:c>
      <x:c r="C19" s="32" t="str">
        <x:v>种地吧S3</x:v>
      </x:c>
      <x:c r="D19" s="32" t="str">
        <x:v>40期</x:v>
      </x:c>
      <x:c r="E19" s="32" t="str">
        <x:v>E006</x:v>
      </x:c>
      <x:c r="F19" s="32" t="str">
        <x:v>高克新（高叔）及林口沙棘伙伴</x:v>
      </x:c>
      <x:c r="G19" s="32" t="str">
        <x:v>4 长期机制</x:v>
      </x:c>
      <x:c r="H19" s="32" t="str">
        <x:v>能力培训/自主直播</x:v>
      </x:c>
      <x:c r="I19" s="32" t="str">
        <x:v>农户长期依赖外部主播不可持续</x:v>
      </x:c>
      <x:c r="J19" s="32" t="str">
        <x:v>高叔、高婶首次在爱侬直播间带货，十个勤天现场传授直播技巧</x:v>
      </x:c>
      <x:c r="K19" s="54" t="str">
        <x:v>完成从“代卖”到“教会自己卖”的能力转移</x:v>
      </x:c>
      <x:c r="L19" s="54" t="str">
        <x:v>S3关系以能力赋能收束</x:v>
      </x:c>
      <x:c r="M19" s="54" t="str">
        <x:v>是</x:v>
      </x:c>
      <x:c r="N19" s="32" t="str">
        <x:v>P004</x:v>
      </x:c>
      <x:c r="O19" s="32" t="str">
        <x:v>高</x:v>
      </x:c>
      <x:c r="P19" s="32" t="str">
        <x:v>https://www.iqiyi.com/a_1m6mg3fkjcd.html</x:v>
      </x:c>
      <x:c r="Q19" s="32" t="str">
        <x:v>https://www.iq.com/play/%E7%A7%8D%E5%9C%B0%E5%90%A7%E7%AC%AC3%E5%AD%A3-2025-7-12-ptgwscf1ws?lang=zh_cn</x:v>
      </x:c>
      <x:c r="R19" s="16" t="str">
        <x:v>否</x:v>
      </x:c>
    </x:row>
    <x:row r="20">
      <x:c r="A20" s="32" t="str">
        <x:v>EV019</x:v>
      </x:c>
      <x:c r="B20" s="32" t="str">
        <x:v>2025-07</x:v>
      </x:c>
      <x:c r="C20" s="32" t="str">
        <x:v>种地吧S3</x:v>
      </x:c>
      <x:c r="D20" s="32" t="str">
        <x:v>40期</x:v>
      </x:c>
      <x:c r="E20" s="32" t="str">
        <x:v>E009</x:v>
      </x:c>
      <x:c r="F20" s="32" t="str">
        <x:v>更确木兰/藏医药职业学校</x:v>
      </x:c>
      <x:c r="G20" s="32" t="str">
        <x:v>4 长期机制</x:v>
      </x:c>
      <x:c r="H20" s="32" t="str">
        <x:v>能力培训/自主直播</x:v>
      </x:c>
      <x:c r="I20" s="32" t="str">
        <x:v>合作方需要掌握自主直播能力</x:v>
      </x:c>
      <x:c r="J20" s="32" t="str">
        <x:v>木兰校长首次在爱侬直播间带货，十个勤天传授直播要点</x:v>
      </x:c>
      <x:c r="K20" s="54" t="str">
        <x:v>完成销售能力转移</x:v>
      </x:c>
      <x:c r="L20" s="54" t="str">
        <x:v>S4继续重返藏医学院并查看产业进展</x:v>
      </x:c>
      <x:c r="M20" s="54" t="str">
        <x:v>是</x:v>
      </x:c>
      <x:c r="N20" s="32" t="str">
        <x:v>P005</x:v>
      </x:c>
      <x:c r="O20" s="32" t="str">
        <x:v>高</x:v>
      </x:c>
      <x:c r="P20" s="32" t="str">
        <x:v>https://www.iqiyi.com/a_1m6mg3fkjcd.html</x:v>
      </x:c>
      <x:c r="Q20" s="32" t="str">
        <x:v>https://news.cau.edu.cn/mtndnew/294c5976e377445787bf1e30a9bcd010.htm</x:v>
      </x:c>
      <x:c r="R20" s="16" t="str">
        <x:v>否</x:v>
      </x:c>
    </x:row>
    <x:row r="21">
      <x:c r="A21" s="32" t="str">
        <x:v>EV020</x:v>
      </x:c>
      <x:c r="B21" s="32" t="str">
        <x:v>2026-05</x:v>
      </x:c>
      <x:c r="C21" s="32" t="str">
        <x:v>种地吧S4</x:v>
      </x:c>
      <x:c r="D21" s="32" t="str">
        <x:v>1-6期</x:v>
      </x:c>
      <x:c r="E21" s="32" t="str">
        <x:v>E014</x:v>
      </x:c>
      <x:c r="F21" s="32" t="str">
        <x:v>墨脱农户/特色农业产区</x:v>
      </x:c>
      <x:c r="G21" s="32" t="str">
        <x:v>2 直接行动</x:v>
      </x:c>
      <x:c r="H21" s="32" t="str">
        <x:v>产地调研/生产参与</x:v>
      </x:c>
      <x:c r="I21" s="32" t="str">
        <x:v>特色农产品丰富但市场认知和产业连接不足</x:v>
      </x:c>
      <x:c r="J21" s="32" t="str">
        <x:v>走访香蕉、枇杷、石斛等产业；参与搬运和石斛等种植</x:v>
      </x:c>
      <x:c r="K21" s="54" t="str">
        <x:v>形成完整产地画像和推介素材</x:v>
      </x:c>
      <x:c r="L21" s="54" t="str">
        <x:v>第6期举办农产品推介会</x:v>
      </x:c>
      <x:c r="M21" s="54" t="str">
        <x:v>是</x:v>
      </x:c>
      <x:c r="N21" s="32" t="str">
        <x:v>P009</x:v>
      </x:c>
      <x:c r="O21" s="32" t="str">
        <x:v>高</x:v>
      </x:c>
      <x:c r="P21" s="32" t="str">
        <x:v>https://www.chinanews.com.cn/cul/2026/05-28/10630451.shtml</x:v>
      </x:c>
      <x:c r="Q21" s="32" t="str">
        <x:v>https://pages.iqiyi.com/p/zbs/63x0avhv.html</x:v>
      </x:c>
      <x:c r="R21" s="16" t="str">
        <x:v>否</x:v>
      </x:c>
    </x:row>
    <x:row r="22">
      <x:c r="A22" s="32" t="str">
        <x:v>EV021</x:v>
      </x:c>
      <x:c r="B22" s="32" t="str">
        <x:v>2026-05-29</x:v>
      </x:c>
      <x:c r="C22" s="32" t="str">
        <x:v>种地吧S4</x:v>
      </x:c>
      <x:c r="D22" s="32" t="str">
        <x:v>6期</x:v>
      </x:c>
      <x:c r="E22" s="32" t="str">
        <x:v>E014</x:v>
      </x:c>
      <x:c r="F22" s="32" t="str">
        <x:v>墨脱农户/特色农业产区</x:v>
      </x:c>
      <x:c r="G22" s="32" t="str">
        <x:v>3 合作</x:v>
      </x:c>
      <x:c r="H22" s="32" t="str">
        <x:v>农产品推介/渠道</x:v>
      </x:c>
      <x:c r="I22" s="32" t="str">
        <x:v>需要把分散产品集中介绍给外部市场和合作方</x:v>
      </x:c>
      <x:c r="J22" s="32" t="str">
        <x:v>举办墨脱农产品推介会</x:v>
      </x:c>
      <x:c r="K22" s="54" t="str">
        <x:v>公开资料确认推介会完成；暂未检索到可靠销量</x:v>
      </x:c>
      <x:c r="L22" s="54" t="str">
        <x:v>本季墨脱阶段闭环</x:v>
      </x:c>
      <x:c r="M22" s="54" t="str">
        <x:v>否</x:v>
      </x:c>
      <x:c r="N22" s="32" t="str">
        <x:v>P009</x:v>
      </x:c>
      <x:c r="O22" s="32" t="str">
        <x:v>高</x:v>
      </x:c>
      <x:c r="P22" s="32" t="str">
        <x:v>https://www.iq.com/play/%E7%A7%8D%E5%9C%B0%E5%90%A7%E7%AC%AC4%E5%AD%A3-2026-5-29-22xwlde9cmw?lang=zh_cn</x:v>
      </x:c>
      <x:c r="Q22" s="32" t="str">
        <x:v>https://pages.iqiyi.com/p/zbs/63x0avhv.html</x:v>
      </x:c>
      <x:c r="R22" s="16" t="str">
        <x:v>否</x:v>
      </x:c>
    </x:row>
    <x:row r="23">
      <x:c r="A23" s="32" t="str">
        <x:v>EV022</x:v>
      </x:c>
      <x:c r="B23" s="32" t="str">
        <x:v>2026-06</x:v>
      </x:c>
      <x:c r="C23" s="32" t="str">
        <x:v>种地吧S4</x:v>
      </x:c>
      <x:c r="D23" s="32" t="str">
        <x:v>7-10期</x:v>
      </x:c>
      <x:c r="E23" s="32" t="str">
        <x:v>E016</x:v>
      </x:c>
      <x:c r="F23" s="32" t="str">
        <x:v>买吐地一家/沙漠玫瑰种植户</x:v>
      </x:c>
      <x:c r="G23" s="32" t="str">
        <x:v>2 直接行动</x:v>
      </x:c>
      <x:c r="H23" s="32" t="str">
        <x:v>荒漠农业/劳动助农</x:v>
      </x:c>
      <x:c r="I23" s="32" t="str">
        <x:v>沙漠玫瑰种植环境艰苦，特色产品需要持续推广</x:v>
      </x:c>
      <x:c r="J23" s="32" t="str">
        <x:v>与当地农户、志愿者共同种沙漠玫瑰并考察加工</x:v>
      </x:c>
      <x:c r="K23" s="54" t="str">
        <x:v>不足20天后回访已见新绿抽芽</x:v>
      </x:c>
      <x:c r="L23" s="54" t="str">
        <x:v>后续明确保留推广玫瑰花馕心愿</x:v>
      </x:c>
      <x:c r="M23" s="54" t="str">
        <x:v>是</x:v>
      </x:c>
      <x:c r="N23" s="32" t="str">
        <x:v>P010</x:v>
      </x:c>
      <x:c r="O23" s="32" t="str">
        <x:v>高</x:v>
      </x:c>
      <x:c r="P23" s="32" t="str">
        <x:v>https://pages.iqiyi.com/p/zbs/63x0avhv.html</x:v>
      </x:c>
      <x:c r="Q23" s="32" t="str">
        <x:v>https://news.cau.edu.cn/mtndnew/294c5976e377445787bf1e30a9bcd010.htm</x:v>
      </x:c>
      <x:c r="R23" s="16" t="str">
        <x:v>否</x:v>
      </x:c>
    </x:row>
    <x:row r="24">
      <x:c r="A24" s="32" t="str">
        <x:v>EV023</x:v>
      </x:c>
      <x:c r="B24" s="32" t="str">
        <x:v>2026-06</x:v>
      </x:c>
      <x:c r="C24" s="32" t="str">
        <x:v>种地吧S4</x:v>
      </x:c>
      <x:c r="D24" s="32" t="str">
        <x:v>11-13期</x:v>
      </x:c>
      <x:c r="E24" s="32" t="str">
        <x:v>E017</x:v>
      </x:c>
      <x:c r="F24" s="32" t="str">
        <x:v>加依村/肉孜村主任及治沙农户</x:v>
      </x:c>
      <x:c r="G24" s="32" t="str">
        <x:v>3 合作</x:v>
      </x:c>
      <x:c r="H24" s="32" t="str">
        <x:v>治沙/基建</x:v>
      </x:c>
      <x:c r="I24" s="32" t="str">
        <x:v>沙漠边缘需要节水、供能和治沙基础设施</x:v>
      </x:c>
      <x:c r="J24" s="32" t="str">
        <x:v>推沙、凿井、铺管、搭建光伏板并种植沙枣苗</x:v>
      </x:c>
      <x:c r="K24" s="54" t="str">
        <x:v>约12天后回访，100亩区域沙丘已被平整，沙枣苗和光伏设施成片出现</x:v>
      </x:c>
      <x:c r="L24" s="54" t="str">
        <x:v>村方继续开荒和发展规划</x:v>
      </x:c>
      <x:c r="M24" s="54" t="str">
        <x:v>是</x:v>
      </x:c>
      <x:c r="N24" s="32" t="str">
        <x:v>P011</x:v>
      </x:c>
      <x:c r="O24" s="32" t="str">
        <x:v>高</x:v>
      </x:c>
      <x:c r="P24" s="32" t="str">
        <x:v>https://news.cau.edu.cn/mtndnew/294c5976e377445787bf1e30a9bcd010.htm</x:v>
      </x:c>
      <x:c r="Q24" s="32" t="str">
        <x:v>https://pages.iqiyi.com/p/zbs/63x0avhv.html</x:v>
      </x:c>
      <x:c r="R24" s="16" t="str">
        <x:v>是</x:v>
      </x:c>
    </x:row>
    <x:row r="25">
      <x:c r="A25" s="32" t="str">
        <x:v>EV024</x:v>
      </x:c>
      <x:c r="B25" s="32" t="str">
        <x:v>2026-06-26</x:v>
      </x:c>
      <x:c r="C25" s="32" t="str">
        <x:v>种地吧S4</x:v>
      </x:c>
      <x:c r="D25" s="32" t="str">
        <x:v>14期</x:v>
      </x:c>
      <x:c r="E25" s="32" t="str">
        <x:v>E015</x:v>
      </x:c>
      <x:c r="F25" s="32" t="str">
        <x:v>李鹏/策勒治沙植枣产业</x:v>
      </x:c>
      <x:c r="G25" s="32" t="str">
        <x:v>1 诊断</x:v>
      </x:c>
      <x:c r="H25" s="32" t="str">
        <x:v>库存/销路诊断</x:v>
      </x:c>
      <x:c r="I25" s="32" t="str">
        <x:v>红枣积压库存超过300吨</x:v>
      </x:c>
      <x:c r="J25" s="32" t="str">
        <x:v>实地考察策勒红枣和治沙植枣产业，明确库存问题</x:v>
      </x:c>
      <x:c r="K25" s="54" t="str">
        <x:v>问题被量化并进入产品研发/直播任务</x:v>
      </x:c>
      <x:c r="L25" s="54" t="str">
        <x:v>15-17期继续解决</x:v>
      </x:c>
      <x:c r="M25" s="54" t="str">
        <x:v>是</x:v>
      </x:c>
      <x:c r="N25" s="32" t="str">
        <x:v>P012</x:v>
      </x:c>
      <x:c r="O25" s="32" t="str">
        <x:v>高</x:v>
      </x:c>
      <x:c r="P25" s="32" t="str">
        <x:v>https://www.iq.com/short/%E7%A7%8D%E5%9C%B0%E5%90%A7%E7%AC%AC4%E5%AD%A3-2026-6-26-1udb7usytx0?lang=zh_cn</x:v>
      </x:c>
      <x:c r="Q25" s="32" t="str">
        <x:v>https://news.cau.edu.cn/mtndnew/294c5976e377445787bf1e30a9bcd010.htm</x:v>
      </x:c>
      <x:c r="R25" s="16" t="str">
        <x:v>是</x:v>
      </x:c>
    </x:row>
    <x:row r="26">
      <x:c r="A26" s="32" t="str">
        <x:v>EV025</x:v>
      </x:c>
      <x:c r="B26" s="32" t="str">
        <x:v>2026-07</x:v>
      </x:c>
      <x:c r="C26" s="32" t="str">
        <x:v>种地吧S4</x:v>
      </x:c>
      <x:c r="D26" s="32" t="str">
        <x:v>15期</x:v>
      </x:c>
      <x:c r="E26" s="32" t="str">
        <x:v>E015</x:v>
      </x:c>
      <x:c r="F26" s="32" t="str">
        <x:v>李鹏/策勒治沙植枣产业</x:v>
      </x:c>
      <x:c r="G26" s="32" t="str">
        <x:v>3 合作</x:v>
      </x:c>
      <x:c r="H26" s="32" t="str">
        <x:v>产品研发</x:v>
      </x:c>
      <x:c r="I26" s="32" t="str">
        <x:v>单纯原枣销售难消化大库存</x:v>
      </x:c>
      <x:c r="J26" s="32" t="str">
        <x:v>研发红枣果丹皮等深加工形态</x:v>
      </x:c>
      <x:c r="K26" s="54" t="str">
        <x:v>形成可直播销售的新产品/内容方案</x:v>
      </x:c>
      <x:c r="L26" s="54" t="str">
        <x:v>16-17期转入直播</x:v>
      </x:c>
      <x:c r="M26" s="54" t="str">
        <x:v>是</x:v>
      </x:c>
      <x:c r="N26" s="32" t="str">
        <x:v>P012</x:v>
      </x:c>
      <x:c r="O26" s="32" t="str">
        <x:v>高</x:v>
      </x:c>
      <x:c r="P26" s="32" t="str">
        <x:v>https://pages.iqiyi.com/p/zbs/63x0avhv.html</x:v>
      </x:c>
      <x:c r="Q26" s="32" t="str">
        <x:v>https://news.cau.edu.cn/mtndnew/294c5976e377445787bf1e30a9bcd010.htm</x:v>
      </x:c>
      <x:c r="R26" s="16" t="str">
        <x:v>否</x:v>
      </x:c>
    </x:row>
    <x:row r="27">
      <x:c r="A27" s="32" t="str">
        <x:v>EV026</x:v>
      </x:c>
      <x:c r="B27" s="32" t="str">
        <x:v>2026-07-09</x:v>
      </x:c>
      <x:c r="C27" s="32" t="str">
        <x:v>种地吧S4</x:v>
      </x:c>
      <x:c r="D27" s="32" t="str">
        <x:v>17期</x:v>
      </x:c>
      <x:c r="E27" s="32" t="str">
        <x:v>E015</x:v>
      </x:c>
      <x:c r="F27" s="32" t="str">
        <x:v>李鹏/策勒治沙植枣产业</x:v>
      </x:c>
      <x:c r="G27" s="32" t="str">
        <x:v>4 强闭环</x:v>
      </x:c>
      <x:c r="H27" s="32" t="str">
        <x:v>直播助农</x:v>
      </x:c>
      <x:c r="I27" s="32" t="str">
        <x:v>超过300吨红枣库存亟需销路</x:v>
      </x:c>
      <x:c r="J27" s="32" t="str">
        <x:v>用活报剧讲述治沙植枣故事并开展助农直播</x:v>
      </x:c>
      <x:c r="K27" s="54" t="str">
        <x:v>直播1小时售出94吨；14分钟售出40多吨；截至报道发布前企业店累计售出超过200吨</x:v>
      </x:c>
      <x:c r="L27" s="54" t="str">
        <x:v>形成S4最强量化销售闭环</x:v>
      </x:c>
      <x:c r="M27" s="54" t="str">
        <x:v>是</x:v>
      </x:c>
      <x:c r="N27" s="32" t="str">
        <x:v>P012</x:v>
      </x:c>
      <x:c r="O27" s="32" t="str">
        <x:v>高</x:v>
      </x:c>
      <x:c r="P27" s="32" t="str">
        <x:v>https://www.iq.com/play/%E7%A7%8D%E5%9C%B0%E5%90%A7%E7%AC%AC4%E5%AD%A3-2026-7-9-1fhs8p3nzns?lang=zh_cn</x:v>
      </x:c>
      <x:c r="Q27" s="32" t="str">
        <x:v>https://news.cau.edu.cn/mtndnew/294c5976e377445787bf1e30a9bcd010.htm</x:v>
      </x:c>
      <x:c r="R27" s="16" t="str">
        <x:v>是</x:v>
      </x:c>
    </x:row>
    <x:row r="28">
      <x:c r="A28" s="32" t="str">
        <x:v>EV027</x:v>
      </x:c>
      <x:c r="B28" s="32" t="str">
        <x:v>2026-07-10</x:v>
      </x:c>
      <x:c r="C28" s="32" t="str">
        <x:v>种地吧S4</x:v>
      </x:c>
      <x:c r="D28" s="32" t="str">
        <x:v>18期</x:v>
      </x:c>
      <x:c r="E28" s="32" t="str">
        <x:v>E010</x:v>
      </x:c>
      <x:c r="F28" s="32" t="str">
        <x:v>江羊巴桑及白扎盐场盐工</x:v>
      </x:c>
      <x:c r="G28" s="32" t="str">
        <x:v>4 强闭环</x:v>
      </x:c>
      <x:c r="H28" s="32" t="str">
        <x:v>跨季回访/验收</x:v>
      </x:c>
      <x:c r="I28" s="32" t="str">
        <x:v>验证S3合作是否形成真实长期结果</x:v>
      </x:c>
      <x:c r="J28" s="32" t="str">
        <x:v>重返囊谦盐场并听取产业变化</x:v>
      </x:c>
      <x:c r="K28" s="54" t="str">
        <x:v>白扎盐场年产盐量增加约100吨；农户户均增收约1万-2万元；周边盐场也被带动</x:v>
      </x:c>
      <x:c r="L28" s="54" t="str">
        <x:v>S3→S4闭环</x:v>
      </x:c>
      <x:c r="M28" s="54" t="str">
        <x:v>是</x:v>
      </x:c>
      <x:c r="N28" s="32" t="str">
        <x:v>P006</x:v>
      </x:c>
      <x:c r="O28" s="32" t="str">
        <x:v>高</x:v>
      </x:c>
      <x:c r="P28" s="32" t="str">
        <x:v>https://news.cau.edu.cn/mtndnew/294c5976e377445787bf1e30a9bcd010.htm</x:v>
      </x:c>
      <x:c r="Q28" s="32" t="str">
        <x:v>https://pages.iqiyi.com/p/zbs/63x0avhv.html</x:v>
      </x:c>
      <x:c r="R28" s="16" t="str">
        <x:v>是</x:v>
      </x:c>
    </x:row>
    <x:row r="29">
      <x:c r="A29" s="32" t="str">
        <x:v>EV028</x:v>
      </x:c>
      <x:c r="B29" s="32" t="str">
        <x:v>2026-07-10</x:v>
      </x:c>
      <x:c r="C29" s="32" t="str">
        <x:v>种地吧S4</x:v>
      </x:c>
      <x:c r="D29" s="32" t="str">
        <x:v>18期</x:v>
      </x:c>
      <x:c r="E29" s="32" t="str">
        <x:v>E008</x:v>
      </x:c>
      <x:c r="F29" s="32" t="str">
        <x:v>成林</x:v>
      </x:c>
      <x:c r="G29" s="32" t="str">
        <x:v>4 强闭环</x:v>
      </x:c>
      <x:c r="H29" s="32" t="str">
        <x:v>跨季回访/技术扩散</x:v>
      </x:c>
      <x:c r="I29" s="32" t="str">
        <x:v>验证水培大棚能否持续并扩散</x:v>
      </x:c>
      <x:c r="J29" s="32" t="str">
        <x:v>回访成林蔬菜大棚，查看水培与育苗成果</x:v>
      </x:c>
      <x:c r="K29" s="54" t="str">
        <x:v>成林成为当地水培技术指导并带动其他农户；水果彩椒等种植成功</x:v>
      </x:c>
      <x:c r="L29" s="54" t="str">
        <x:v>技术从项目转移到当地人</x:v>
      </x:c>
      <x:c r="M29" s="54" t="str">
        <x:v>是</x:v>
      </x:c>
      <x:c r="N29" s="32" t="str">
        <x:v>P005</x:v>
      </x:c>
      <x:c r="O29" s="32" t="str">
        <x:v>高</x:v>
      </x:c>
      <x:c r="P29" s="32" t="str">
        <x:v>https://news.cau.edu.cn/mtndnew/294c5976e377445787bf1e30a9bcd010.htm</x:v>
      </x:c>
      <x:c r="Q29" s="32" t="str">
        <x:v>https://pages.iqiyi.com/p/zbs/63x0avhv.html</x:v>
      </x:c>
      <x:c r="R29" s="16" t="str">
        <x:v>否</x:v>
      </x:c>
    </x:row>
    <x:row r="30">
      <x:c r="A30" s="32" t="str">
        <x:v>EV029</x:v>
      </x:c>
      <x:c r="B30" s="32" t="str">
        <x:v>2026-07-10</x:v>
      </x:c>
      <x:c r="C30" s="32" t="str">
        <x:v>种地吧S4</x:v>
      </x:c>
      <x:c r="D30" s="32" t="str">
        <x:v>18期及后续</x:v>
      </x:c>
      <x:c r="E30" s="32" t="str">
        <x:v>E011</x:v>
      </x:c>
      <x:c r="F30" s="32" t="str">
        <x:v>囊谦县农业产业合作网络</x:v>
      </x:c>
      <x:c r="G30" s="32" t="str">
        <x:v>4 强闭环</x:v>
      </x:c>
      <x:c r="H30" s="32" t="str">
        <x:v>跨季回访/产业链</x:v>
      </x:c>
      <x:c r="I30" s="32" t="str">
        <x:v>验证特色农产采购、直播和基建是否持续</x:v>
      </x:c>
      <x:c r="J30" s="32" t="str">
        <x:v>了解囊谦农产品五年发展规划与产业进展</x:v>
      </x:c>
      <x:c r="K30" s="54" t="str">
        <x:v>青稞、芫根种植和收购形成较成熟产业链；直播和盐田收益进入农户</x:v>
      </x:c>
      <x:c r="L30" s="54" t="str">
        <x:v>跨季地区级成果</x:v>
      </x:c>
      <x:c r="M30" s="54" t="str">
        <x:v>是</x:v>
      </x:c>
      <x:c r="N30" s="32" t="str">
        <x:v>P005</x:v>
      </x:c>
      <x:c r="O30" s="32" t="str">
        <x:v>高</x:v>
      </x:c>
      <x:c r="P30" s="32" t="str">
        <x:v>https://news.cau.edu.cn/mtndnew/294c5976e377445787bf1e30a9bcd010.htm</x:v>
      </x:c>
      <x:c r="Q30" s="32" t="str">
        <x:v>https://pages.iqiyi.com/p/zbs/63x0avhv.html</x:v>
      </x:c>
      <x:c r="R30" s="16" t="str">
        <x:v>否</x:v>
      </x:c>
    </x:row>
    <x:row r="31">
      <x:c r="A31" s="32" t="str">
        <x:v>EV030</x:v>
      </x:c>
      <x:c r="B31" s="32" t="str">
        <x:v>2026-08-20</x:v>
      </x:c>
      <x:c r="C31" s="32" t="str">
        <x:v>种地吧S4</x:v>
      </x:c>
      <x:c r="D31" s="32" t="str">
        <x:v>29期</x:v>
      </x:c>
      <x:c r="E31" s="32" t="str">
        <x:v>E018</x:v>
      </x:c>
      <x:c r="F31" s="32" t="str">
        <x:v>西双版纳受灾水果农户/合作方</x:v>
      </x:c>
      <x:c r="G31" s="32" t="str">
        <x:v>2 直接行动</x:v>
      </x:c>
      <x:c r="H31" s="32" t="str">
        <x:v>灾后助农/市场危机</x:v>
      </x:c>
      <x:c r="I31" s="32" t="str">
        <x:v>水果受灾并出现“一块钱芒果”等极低价格</x:v>
      </x:c>
      <x:c r="J31" s="32" t="str">
        <x:v>实地了解果品和价格，团队讨论水果危机对策</x:v>
      </x:c>
      <x:c r="K31" s="54" t="str">
        <x:v>节目明确呈现危机与对策讨论；暂无可靠最终销量</x:v>
      </x:c>
      <x:c r="L31" s="54" t="str">
        <x:v>等待后续是否形成渠道/产品闭环</x:v>
      </x:c>
      <x:c r="M31" s="54" t="str">
        <x:v>否</x:v>
      </x:c>
      <x:c r="N31" s="32" t="str">
        <x:v>P013</x:v>
      </x:c>
      <x:c r="O31" s="32" t="str">
        <x:v>高</x:v>
      </x:c>
      <x:c r="P31" s="32" t="str">
        <x:v>https://www.iqiyi.com/a_vnn1du4wil.html</x:v>
      </x:c>
      <x:c r="Q31" s="32" t="str"/>
      <x:c r="R31" s="16" t="str">
        <x:v>否</x:v>
      </x:c>
    </x:row>
    <x:row r="32">
      <x:c r="A32" s="32" t="str">
        <x:v>EV031</x:v>
      </x:c>
      <x:c r="B32" s="32" t="str">
        <x:v>2026-08-21</x:v>
      </x:c>
      <x:c r="C32" s="32" t="str">
        <x:v>种地吧S4</x:v>
      </x:c>
      <x:c r="D32" s="32" t="str">
        <x:v>30期</x:v>
      </x:c>
      <x:c r="E32" s="32" t="str">
        <x:v>E019</x:v>
      </x:c>
      <x:c r="F32" s="32" t="str">
        <x:v>云南胶工/橡胶产区</x:v>
      </x:c>
      <x:c r="G32" s="32" t="str">
        <x:v>1 方案探索</x:v>
      </x:c>
      <x:c r="H32" s="32" t="str">
        <x:v>品牌助农/产业调研</x:v>
      </x:c>
      <x:c r="I32" s="32" t="str">
        <x:v>天然橡胶以原料为主，品牌和规模化价值提升空间大</x:v>
      </x:c>
      <x:c r="J32" s="32" t="str">
        <x:v>夜间学习割胶并提出打造当地规模化品牌</x:v>
      </x:c>
      <x:c r="K32" s="54" t="str">
        <x:v>目前为方案和传播阶段，无可验证销售结果</x:v>
      </x:c>
      <x:c r="L32" s="54" t="str">
        <x:v>可作为S4未来长期合作观察点</x:v>
      </x:c>
      <x:c r="M32" s="54" t="str">
        <x:v>否</x:v>
      </x:c>
      <x:c r="N32" s="32" t="str">
        <x:v>P014</x:v>
      </x:c>
      <x:c r="O32" s="32" t="str">
        <x:v>中高</x:v>
      </x:c>
      <x:c r="P32" s="32" t="str">
        <x:v>https://www.iqiyi.com/a_vnn1du4wil.html</x:v>
      </x:c>
      <x:c r="Q32" s="32" t="str">
        <x:v>https://pages.iqiyi.com/p/zbs/63x0avhv.html</x:v>
      </x:c>
      <x:c r="R32" s="16" t="str">
        <x:v>否</x:v>
      </x:c>
    </x:row>
  </x:sheetData>
  <x:conditionalFormatting sqref="A2:Q32">
    <x:cfRule type="expression" dxfId="0" priority="1">
      <x:formula>OR($G2="4 强闭环",$G2="4 长期机制")</x:formula>
    </x:cfRule>
  </x:conditionalFormatting>
  <x:dataValidations count="3">
    <x:dataValidation type="list" sqref="G2:G32">
      <x:formula1>"1 关系建立,1 诊断,1 方案探索,2 直接行动,3 合作,4 长期机制,4 强闭环"</x:formula1>
    </x:dataValidation>
    <x:dataValidation type="list" sqref="O2:O32">
      <x:formula1>"高,中高,中,中低,低"</x:formula1>
    </x:dataValidation>
    <x:dataValidation type="list" sqref="R2:R32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2109ba0829467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22" hidden="0" customWidth="1"/>
    <x:col min="4" max="4" width="18" hidden="0" customWidth="1"/>
    <x:col min="5" max="5" width="16" hidden="0" customWidth="1"/>
    <x:col min="6" max="6" width="28" hidden="0" customWidth="1"/>
    <x:col min="7" max="7" width="34" hidden="0" customWidth="1"/>
    <x:col min="8" max="8" width="30" hidden="0" customWidth="1"/>
    <x:col min="9" max="9" width="48" hidden="0" customWidth="1"/>
    <x:col min="10" max="10" width="35" hidden="0" customWidth="1"/>
    <x:col min="11" max="11" width="48" hidden="0" customWidth="1"/>
  </x:cols>
  <x:sheetData>
    <x:row r="1">
      <x:c r="A1" s="42" t="str">
        <x:v>产品ID</x:v>
      </x:c>
      <x:c r="B1" s="42" t="str">
        <x:v>产品/项目</x:v>
      </x:c>
      <x:c r="C1" s="42" t="str">
        <x:v>地区</x:v>
      </x:c>
      <x:c r="D1" s="42" t="str">
        <x:v>关联实体ID</x:v>
      </x:c>
      <x:c r="E1" s="42" t="str">
        <x:v>首次节目</x:v>
      </x:c>
      <x:c r="F1" s="42" t="str">
        <x:v>原料/形态</x:v>
      </x:c>
      <x:c r="G1" s="42" t="str">
        <x:v>产品/产业升级</x:v>
      </x:c>
      <x:c r="H1" s="42" t="str">
        <x:v>销售/渠道</x:v>
      </x:c>
      <x:c r="I1" s="42" t="str">
        <x:v>可量化结果</x:v>
      </x:c>
      <x:c r="J1" s="42" t="str">
        <x:v>后续状态</x:v>
      </x:c>
      <x:c r="K1" s="42" t="str">
        <x:v>来源</x:v>
      </x:c>
    </x:row>
    <x:row r="2">
      <x:c r="A2" s="32" t="str">
        <x:v>P001</x:v>
      </x:c>
      <x:c r="B2" s="32" t="str">
        <x:v>民勤人参果/梭梭生态项目</x:v>
      </x:c>
      <x:c r="C2" s="32" t="str">
        <x:v>甘肃民勤</x:v>
      </x:c>
      <x:c r="D2" s="32" t="str">
        <x:v>E002;E003;E004</x:v>
      </x:c>
      <x:c r="E2" s="32" t="str">
        <x:v>种地吧S2</x:v>
      </x:c>
      <x:c r="F2" s="32" t="str">
        <x:v>人参果；梭梭</x:v>
      </x:c>
      <x:c r="G2" s="32" t="str">
        <x:v>生态治理+农产直播</x:v>
      </x:c>
      <x:c r="H2" s="32" t="str">
        <x:v>种树直播、助农直播</x:v>
      </x:c>
      <x:c r="I2" s="43" t="str">
        <x:v>梭梭约18万棵、超500亩；直播观看超1200万（种树直播）</x:v>
      </x:c>
      <x:c r="J2" s="43" t="str">
        <x:v>生态项目完成；仲麟关系跨季延续</x:v>
      </x:c>
      <x:c r="K2" s="32" t="str">
        <x:v>https://pages.iqiyi.com/p/zbs/news2024031302.html</x:v>
      </x:c>
    </x:row>
    <x:row r="3">
      <x:c r="A3" s="32" t="str">
        <x:v>P002</x:v>
      </x:c>
      <x:c r="B3" s="32" t="str">
        <x:v>草莓酱/周边草莓</x:v>
      </x:c>
      <x:c r="C3" s="32" t="str">
        <x:v>浙江杭州后陡门周边</x:v>
      </x:c>
      <x:c r="D3" s="32" t="str">
        <x:v>E001</x:v>
      </x:c>
      <x:c r="E3" s="32" t="str">
        <x:v>种地吧S2</x:v>
      </x:c>
      <x:c r="F3" s="32" t="str">
        <x:v>鲜草莓→草莓酱</x:v>
      </x:c>
      <x:c r="G3" s="32" t="str">
        <x:v>收购周边果农原料并加工</x:v>
      </x:c>
      <x:c r="H3" s="32" t="str">
        <x:v>加工厂/自制、爱侬日直播</x:v>
      </x:c>
      <x:c r="I3" s="43" t="str">
        <x:v>无可靠单品销量公开数据</x:v>
      </x:c>
      <x:c r="J3" s="43" t="str">
        <x:v>供应链思路延续至后续产地采购</x:v>
      </x:c>
      <x:c r="K3" s="32" t="str">
        <x:v>https://pages.iqiyi.com/p/zbs/news20240223.html</x:v>
      </x:c>
    </x:row>
    <x:row r="4">
      <x:c r="A4" s="32" t="str">
        <x:v>P003</x:v>
      </x:c>
      <x:c r="B4" s="32" t="str">
        <x:v>杨梅</x:v>
      </x:c>
      <x:c r="C4" s="32" t="str">
        <x:v>浙江缙云/仙居</x:v>
      </x:c>
      <x:c r="D4" s="32" t="str">
        <x:v>E005</x:v>
      </x:c>
      <x:c r="E4" s="32" t="str">
        <x:v>种地吧S2</x:v>
      </x:c>
      <x:c r="F4" s="32" t="str">
        <x:v>鲜杨梅</x:v>
      </x:c>
      <x:c r="G4" s="32" t="str">
        <x:v>产地考察与采购</x:v>
      </x:c>
      <x:c r="H4" s="32" t="str">
        <x:v>采购谈判/渠道合作</x:v>
      </x:c>
      <x:c r="I4" s="43" t="str">
        <x:v>无可靠销量公开数据</x:v>
      </x:c>
      <x:c r="J4" s="43" t="str">
        <x:v>成为走出后陡门采购农产的代表案例</x:v>
      </x:c>
      <x:c r="K4" s="32" t="str">
        <x:v>https://www.iqiyi.com/a_1ob6ur0upnl.html</x:v>
      </x:c>
    </x:row>
    <x:row r="5">
      <x:c r="A5" s="32" t="str">
        <x:v>P004</x:v>
      </x:c>
      <x:c r="B5" s="32" t="str">
        <x:v>林口沙棘/沙棘皂</x:v>
      </x:c>
      <x:c r="C5" s="32" t="str">
        <x:v>黑龙江林口</x:v>
      </x:c>
      <x:c r="D5" s="32" t="str">
        <x:v>E006;E007</x:v>
      </x:c>
      <x:c r="E5" s="32" t="str">
        <x:v>种地吧S3</x:v>
      </x:c>
      <x:c r="F5" s="32" t="str">
        <x:v>沙棘果→沙棘皂</x:v>
      </x:c>
      <x:c r="G5" s="32" t="str">
        <x:v>深加工+乡村合伙人</x:v>
      </x:c>
      <x:c r="H5" s="32" t="str">
        <x:v>早市/展销会/爱侬日/自主直播</x:v>
      </x:c>
      <x:c r="I5" s="43" t="str">
        <x:v>展销后向乡村合伙人分红；沙棘皂在爱侬日热度高；高克新微博10分钟涨粉过万</x:v>
      </x:c>
      <x:c r="J5" s="43" t="str">
        <x:v>S3内形成长期合作机制</x:v>
      </x:c>
      <x:c r="K5" s="32" t="str">
        <x:v>https://pages.iqiyi.com/p/zbs/news20250715.html</x:v>
      </x:c>
    </x:row>
    <x:row r="6">
      <x:c r="A6" s="32" t="str">
        <x:v>P005</x:v>
      </x:c>
      <x:c r="B6" s="32" t="str">
        <x:v>囊谦芫根/高原蔬菜</x:v>
      </x:c>
      <x:c r="C6" s="32" t="str">
        <x:v>青海囊谦</x:v>
      </x:c>
      <x:c r="D6" s="32" t="str">
        <x:v>E008;E009;E011</x:v>
      </x:c>
      <x:c r="E6" s="32" t="str">
        <x:v>种地吧S3</x:v>
      </x:c>
      <x:c r="F6" s="32" t="str">
        <x:v>芫根→芫根粉/饮料；高原蔬菜</x:v>
      </x:c>
      <x:c r="G6" s="32" t="str">
        <x:v>产品迭代+直播+水培技术</x:v>
      </x:c>
      <x:c r="H6" s="32" t="str">
        <x:v>助农直播、爱侬日、水培大棚</x:v>
      </x:c>
      <x:c r="I6" s="43" t="str">
        <x:v>芫根直播3万件1秒售罄、销售额超190万元；S4回访技术已扩散</x:v>
      </x:c>
      <x:c r="J6" s="43" t="str">
        <x:v>S3→S4长期闭环</x:v>
      </x:c>
      <x:c r="K6" s="32" t="str">
        <x:v>https://www.qh.chinanews.com.cn/sh/news/2025/0321/133704.html</x:v>
      </x:c>
    </x:row>
    <x:row r="7">
      <x:c r="A7" s="32" t="str">
        <x:v>P006</x:v>
      </x:c>
      <x:c r="B7" s="32" t="str">
        <x:v>囊谦红盐/白盐</x:v>
      </x:c>
      <x:c r="C7" s="32" t="str">
        <x:v>青海囊谦白扎盐场</x:v>
      </x:c>
      <x:c r="D7" s="32" t="str">
        <x:v>E010;E011</x:v>
      </x:c>
      <x:c r="E7" s="32" t="str">
        <x:v>种地吧S3</x:v>
      </x:c>
      <x:c r="F7" s="32" t="str">
        <x:v>传统红盐/白盐</x:v>
      </x:c>
      <x:c r="G7" s="32" t="str">
        <x:v>产地采购+品牌/渠道</x:v>
      </x:c>
      <x:c r="H7" s="32" t="str">
        <x:v>节目采购、爱侬/外部渠道</x:v>
      </x:c>
      <x:c r="I7" s="43" t="str">
        <x:v>S4回访：白扎盐场年产盐量增加约100吨，农户户均增收约1万-2万元</x:v>
      </x:c>
      <x:c r="J7" s="43" t="str">
        <x:v>跨季验证增收</x:v>
      </x:c>
      <x:c r="K7" s="32" t="str">
        <x:v>https://news.cau.edu.cn/mtndnew/294c5976e377445787bf1e30a9bcd010.htm</x:v>
      </x:c>
    </x:row>
    <x:row r="8">
      <x:c r="A8" s="32" t="str">
        <x:v>P007</x:v>
      </x:c>
      <x:c r="B8" s="32" t="str">
        <x:v>宁乡花猪</x:v>
      </x:c>
      <x:c r="C8" s="32" t="str">
        <x:v>湖南宁乡</x:v>
      </x:c>
      <x:c r="D8" s="32" t="str">
        <x:v>E012</x:v>
      </x:c>
      <x:c r="E8" s="32" t="str">
        <x:v>种地吧S3</x:v>
      </x:c>
      <x:c r="F8" s="32" t="str">
        <x:v>花猪肉/地方产业</x:v>
      </x:c>
      <x:c r="G8" s="32" t="str">
        <x:v>市场调研+品牌赋能</x:v>
      </x:c>
      <x:c r="H8" s="32" t="str">
        <x:v>线下合作、爱侬日</x:v>
      </x:c>
      <x:c r="I8" s="43" t="str">
        <x:v>官方称拓宽销路；爱侬日中相关库存快速售罄</x:v>
      </x:c>
      <x:c r="J8" s="43" t="str">
        <x:v>S3农友持续参与节目关系网络</x:v>
      </x:c>
      <x:c r="K8" s="32" t="str">
        <x:v>https://pages.iqiyi.com/p/zbs/news20250715.html</x:v>
      </x:c>
    </x:row>
    <x:row r="9">
      <x:c r="A9" s="32" t="str">
        <x:v>P008</x:v>
      </x:c>
      <x:c r="B9" s="32" t="str">
        <x:v>爱侬日产品矩阵</x:v>
      </x:c>
      <x:c r="C9" s="32" t="str">
        <x:v>全国</x:v>
      </x:c>
      <x:c r="D9" s="32" t="str">
        <x:v>E013</x:v>
      </x:c>
      <x:c r="E9" s="32" t="str">
        <x:v>种地吧S2→S3</x:v>
      </x:c>
      <x:c r="F9" s="32" t="str">
        <x:v>多地农产品</x:v>
      </x:c>
      <x:c r="G9" s="32" t="str">
        <x:v>平台化展销</x:v>
      </x:c>
      <x:c r="H9" s="32" t="str">
        <x:v>直播+研讨会+农文旅联动</x:v>
      </x:c>
      <x:c r="I9" s="43" t="str">
        <x:v>S3联动15家直播间、300余款产品、全平台观看超1.4亿</x:v>
      </x:c>
      <x:c r="J9" s="43" t="str">
        <x:v>成为系列助农IP</x:v>
      </x:c>
      <x:c r="K9" s="32" t="str">
        <x:v>https://pages.iqiyi.com/p/zbs/news20250715.html</x:v>
      </x:c>
    </x:row>
    <x:row r="10">
      <x:c r="A10" s="32" t="str">
        <x:v>P009</x:v>
      </x:c>
      <x:c r="B10" s="32" t="str">
        <x:v>墨脱特色农产</x:v>
      </x:c>
      <x:c r="C10" s="32" t="str">
        <x:v>西藏墨脱</x:v>
      </x:c>
      <x:c r="D10" s="32" t="str">
        <x:v>E014</x:v>
      </x:c>
      <x:c r="E10" s="32" t="str">
        <x:v>种地吧S4</x:v>
      </x:c>
      <x:c r="F10" s="32" t="str">
        <x:v>香蕉、枇杷、茶、香橼、石斛、灵芝等</x:v>
      </x:c>
      <x:c r="G10" s="32" t="str">
        <x:v>产区调研+推介</x:v>
      </x:c>
      <x:c r="H10" s="32" t="str">
        <x:v>农产品推介会</x:v>
      </x:c>
      <x:c r="I10" s="43" t="str">
        <x:v>公开确认推介会；未检索到可靠销量</x:v>
      </x:c>
      <x:c r="J10" s="43" t="str">
        <x:v>后续待观察</x:v>
      </x:c>
      <x:c r="K10" s="32" t="str">
        <x:v>https://www.iq.com/play/%E7%A7%8D%E5%9C%B0%E5%90%A7%E7%AC%AC4%E5%AD%A3-2026-5-29-22xwlde9cmw?lang=zh_cn</x:v>
      </x:c>
    </x:row>
    <x:row r="11">
      <x:c r="A11" s="32" t="str">
        <x:v>P010</x:v>
      </x:c>
      <x:c r="B11" s="32" t="str">
        <x:v>沙漠玫瑰/玫瑰花馕</x:v>
      </x:c>
      <x:c r="C11" s="32" t="str">
        <x:v>新疆于田等</x:v>
      </x:c>
      <x:c r="D11" s="32" t="str">
        <x:v>E016</x:v>
      </x:c>
      <x:c r="E11" s="32" t="str">
        <x:v>种地吧S4</x:v>
      </x:c>
      <x:c r="F11" s="32" t="str">
        <x:v>沙漠玫瑰→加工/食品设想</x:v>
      </x:c>
      <x:c r="G11" s="32" t="str">
        <x:v>种植+加工考察+推广心愿</x:v>
      </x:c>
      <x:c r="H11" s="32" t="str">
        <x:v>节目传播/潜在产品渠道</x:v>
      </x:c>
      <x:c r="I11" s="43" t="str">
        <x:v>20天内新绿抽芽；尚无可靠销量</x:v>
      </x:c>
      <x:c r="J11" s="43" t="str">
        <x:v>同季持续关系</x:v>
      </x:c>
      <x:c r="K11" s="32" t="str">
        <x:v>https://news.cau.edu.cn/mtndnew/294c5976e377445787bf1e30a9bcd010.htm</x:v>
      </x:c>
    </x:row>
    <x:row r="12">
      <x:c r="A12" s="32" t="str">
        <x:v>P011</x:v>
      </x:c>
      <x:c r="B12" s="32" t="str">
        <x:v>治沙林木/光伏节水农业</x:v>
      </x:c>
      <x:c r="C12" s="32" t="str">
        <x:v>新疆加依村等</x:v>
      </x:c>
      <x:c r="D12" s="32" t="str">
        <x:v>E017</x:v>
      </x:c>
      <x:c r="E12" s="32" t="str">
        <x:v>种地吧S4</x:v>
      </x:c>
      <x:c r="F12" s="32" t="str">
        <x:v>沙枣苗、光伏、灌溉设施</x:v>
      </x:c>
      <x:c r="G12" s="32" t="str">
        <x:v>基础设施建设</x:v>
      </x:c>
      <x:c r="H12" s="32" t="str">
        <x:v>非销售型：生产能力建设</x:v>
      </x:c>
      <x:c r="I12" s="43" t="str">
        <x:v>约12天回访100亩地出现沙枣苗与光伏设施</x:v>
      </x:c>
      <x:c r="J12" s="43" t="str">
        <x:v>村方继续推进开荒规划</x:v>
      </x:c>
      <x:c r="K12" s="32" t="str">
        <x:v>https://news.cau.edu.cn/mtndnew/294c5976e377445787bf1e30a9bcd010.htm</x:v>
      </x:c>
    </x:row>
    <x:row r="13">
      <x:c r="A13" s="32" t="str">
        <x:v>P012</x:v>
      </x:c>
      <x:c r="B13" s="32" t="str">
        <x:v>策勒红枣/果丹皮</x:v>
      </x:c>
      <x:c r="C13" s="32" t="str">
        <x:v>新疆策勒</x:v>
      </x:c>
      <x:c r="D13" s="32" t="str">
        <x:v>E015</x:v>
      </x:c>
      <x:c r="E13" s="32" t="str">
        <x:v>种地吧S4</x:v>
      </x:c>
      <x:c r="F13" s="32" t="str">
        <x:v>红枣→果丹皮等</x:v>
      </x:c>
      <x:c r="G13" s="32" t="str">
        <x:v>库存诊断+产品研发+故事化直播</x:v>
      </x:c>
      <x:c r="H13" s="32" t="str">
        <x:v>助农直播/企业店</x:v>
      </x:c>
      <x:c r="I13" s="43" t="str">
        <x:v>直播1小时94吨；14分钟40多吨；截至报道前企业店累计超200吨</x:v>
      </x:c>
      <x:c r="J13" s="43" t="str">
        <x:v>同季强闭环</x:v>
      </x:c>
      <x:c r="K13" s="32" t="str">
        <x:v>https://news.cau.edu.cn/mtndnew/294c5976e377445787bf1e30a9bcd010.htm</x:v>
      </x:c>
    </x:row>
    <x:row r="14">
      <x:c r="A14" s="32" t="str">
        <x:v>P013</x:v>
      </x:c>
      <x:c r="B14" s="32" t="str">
        <x:v>西双版纳受灾水果</x:v>
      </x:c>
      <x:c r="C14" s="32" t="str">
        <x:v>云南西双版纳</x:v>
      </x:c>
      <x:c r="D14" s="32" t="str">
        <x:v>E018</x:v>
      </x:c>
      <x:c r="E14" s="32" t="str">
        <x:v>种地吧S4</x:v>
      </x:c>
      <x:c r="F14" s="32" t="str">
        <x:v>芒果、菠萝、百香果等</x:v>
      </x:c>
      <x:c r="G14" s="32" t="str">
        <x:v>灾后市场诊断</x:v>
      </x:c>
      <x:c r="H14" s="32" t="str">
        <x:v>待形成渠道方案</x:v>
      </x:c>
      <x:c r="I14" s="43" t="str">
        <x:v>出现极低价；暂无可靠最终销量</x:v>
      </x:c>
      <x:c r="J14" s="43" t="str">
        <x:v>待后续</x:v>
      </x:c>
      <x:c r="K14" s="32" t="str">
        <x:v>https://www.iqiyi.com/a_vnn1du4wil.html</x:v>
      </x:c>
    </x:row>
    <x:row r="15">
      <x:c r="A15" s="32" t="str">
        <x:v>P014</x:v>
      </x:c>
      <x:c r="B15" s="32" t="str">
        <x:v>天然橡胶</x:v>
      </x:c>
      <x:c r="C15" s="32" t="str">
        <x:v>云南</x:v>
      </x:c>
      <x:c r="D15" s="32" t="str">
        <x:v>E019</x:v>
      </x:c>
      <x:c r="E15" s="32" t="str">
        <x:v>种地吧S4</x:v>
      </x:c>
      <x:c r="F15" s="32" t="str">
        <x:v>天然橡胶</x:v>
      </x:c>
      <x:c r="G15" s="32" t="str">
        <x:v>劳动体验+品牌化设想</x:v>
      </x:c>
      <x:c r="H15" s="32" t="str">
        <x:v>尚在方案阶段</x:v>
      </x:c>
      <x:c r="I15" s="43" t="str">
        <x:v>无可靠销售结果</x:v>
      </x:c>
      <x:c r="J15" s="43" t="str">
        <x:v>观察是否形成品牌/渠道合作</x:v>
      </x:c>
      <x:c r="K15" s="32" t="str">
        <x:v>https://www.iqiyi.com/a_vnn1du4wil.html</x:v>
      </x:c>
    </x:row>
  </x:sheetData>
  <x:pageMargins left="0.7" right="0.7" top="0.75" bottom="0.75" header="0.3" footer="0.3"/>
  <x:tableParts count="1">
    <x:tablePart xmlns:r="http://schemas.openxmlformats.org/officeDocument/2006/relationships" r:id="Rc0e85d88259b4fe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43" hidden="0" customWidth="1"/>
    <x:col min="4" max="4" width="43" hidden="0" customWidth="1"/>
    <x:col min="5" max="5" width="42" hidden="0" customWidth="1"/>
    <x:col min="6" max="6" width="30" hidden="0" customWidth="1"/>
    <x:col min="7" max="7" width="55" hidden="0" customWidth="1"/>
    <x:col min="8" max="8" width="17" hidden="0" customWidth="1"/>
    <x:col min="9" max="9" width="10" hidden="0" customWidth="1"/>
    <x:col min="10" max="10" width="17" hidden="0" customWidth="1"/>
    <x:col min="11" max="11" width="12" hidden="0" customWidth="1"/>
    <x:col min="12" max="12" width="48" hidden="0" customWidth="1"/>
  </x:cols>
  <x:sheetData>
    <x:row r="1">
      <x:c r="A1" s="42" t="str">
        <x:v>关系ID</x:v>
      </x:c>
      <x:c r="B1" s="42" t="str">
        <x:v>对象/项目</x:v>
      </x:c>
      <x:c r="C1" s="42" t="str">
        <x:v>起点：发现问题</x:v>
      </x:c>
      <x:c r="D1" s="42" t="str">
        <x:v>第一次行动</x:v>
      </x:c>
      <x:c r="E1" s="42" t="str">
        <x:v>中间节点</x:v>
      </x:c>
      <x:c r="F1" s="42" t="str">
        <x:v>回访/验收节点</x:v>
      </x:c>
      <x:c r="G1" s="42" t="str">
        <x:v>可验证变化</x:v>
      </x:c>
      <x:c r="H1" s="42" t="str">
        <x:v>关系判定</x:v>
      </x:c>
      <x:c r="I1" s="42" t="str">
        <x:v>跨季</x:v>
      </x:c>
      <x:c r="J1" s="42" t="str">
        <x:v>当前状态</x:v>
      </x:c>
      <x:c r="K1" s="42" t="str">
        <x:v>证据强度</x:v>
      </x:c>
      <x:c r="L1" s="42" t="str">
        <x:v>来源</x:v>
      </x:c>
    </x:row>
    <x:row r="2">
      <x:c r="A2" s="32" t="str">
        <x:v>R001</x:v>
      </x:c>
      <x:c r="B2" s="32" t="str">
        <x:v>成林 / 囊谦水培大棚</x:v>
      </x:c>
      <x:c r="C2" s="32" t="str">
        <x:v>S3首期发现高原大棚缺水缺电</x:v>
      </x:c>
      <x:c r="D2" s="32" t="str">
        <x:v>S3第17-20期返回娘拉乡改造水培大棚</x:v>
      </x:c>
      <x:c r="E2" s="32" t="str">
        <x:v>S3后续带太空种子/配方等技术支持</x:v>
      </x:c>
      <x:c r="F2" s="32" t="str">
        <x:v>S4第18期回访</x:v>
      </x:c>
      <x:c r="G2" s="44" t="str">
        <x:v>成林已成为当地水培技术指导并带动其他农户；水果彩椒等成功种植</x:v>
      </x:c>
      <x:c r="H2" s="44" t="str">
        <x:v>4 强闭环</x:v>
      </x:c>
      <x:c r="I2" s="44" t="str">
        <x:v>是</x:v>
      </x:c>
      <x:c r="J2" s="32" t="str">
        <x:v>持续</x:v>
      </x:c>
      <x:c r="K2" s="32" t="str">
        <x:v>很强</x:v>
      </x:c>
      <x:c r="L2" s="32" t="str">
        <x:v>https://news.cau.edu.cn/mtndnew/294c5976e377445787bf1e30a9bcd010.htm</x:v>
      </x:c>
    </x:row>
    <x:row r="3">
      <x:c r="A3" s="32" t="str">
        <x:v>R002</x:v>
      </x:c>
      <x:c r="B3" s="32" t="str">
        <x:v>白扎盐场 / 江羊巴桑</x:v>
      </x:c>
      <x:c r="C3" s="32" t="str">
        <x:v>S3首期了解传统制盐及传承问题</x:v>
      </x:c>
      <x:c r="D3" s="32" t="str">
        <x:v>S3与盐场达成合作并下订红盐白盐</x:v>
      </x:c>
      <x:c r="E3" s="32" t="str">
        <x:v>产品进入节目渠道和囊谦产业协同</x:v>
      </x:c>
      <x:c r="F3" s="32" t="str">
        <x:v>S4第18期回访</x:v>
      </x:c>
      <x:c r="G3" s="44" t="str">
        <x:v>年产盐量增加约100吨；农户户均增收约1万-2万元；周边盐场被带动</x:v>
      </x:c>
      <x:c r="H3" s="44" t="str">
        <x:v>4 强闭环</x:v>
      </x:c>
      <x:c r="I3" s="44" t="str">
        <x:v>是</x:v>
      </x:c>
      <x:c r="J3" s="32" t="str">
        <x:v>持续</x:v>
      </x:c>
      <x:c r="K3" s="32" t="str">
        <x:v>很强</x:v>
      </x:c>
      <x:c r="L3" s="32" t="str">
        <x:v>https://news.cau.edu.cn/mtndnew/294c5976e377445787bf1e30a9bcd010.htm</x:v>
      </x:c>
    </x:row>
    <x:row r="4">
      <x:c r="A4" s="32" t="str">
        <x:v>R003</x:v>
      </x:c>
      <x:c r="B4" s="32" t="str">
        <x:v>木兰校长 / 芫根产业</x:v>
      </x:c>
      <x:c r="C4" s="32" t="str">
        <x:v>S3首期了解学校靠芫根加工收入反哺藏医教育</x:v>
      </x:c>
      <x:c r="D4" s="32" t="str">
        <x:v>3月12日芫根助农直播，3万件1秒售罄、销售额超190万元</x:v>
      </x:c>
      <x:c r="E4" s="32" t="str">
        <x:v>S3第17期产品迭代；爱侬日；第40期首次自主直播</x:v>
      </x:c>
      <x:c r="F4" s="32" t="str">
        <x:v>S4重返藏医学院/囊谦产业回访</x:v>
      </x:c>
      <x:c r="G4" s="44" t="str">
        <x:v>青稞、芫根种植和收购形成较成熟产业链；合作方掌握更多直播能力</x:v>
      </x:c>
      <x:c r="H4" s="44" t="str">
        <x:v>4 强闭环</x:v>
      </x:c>
      <x:c r="I4" s="44" t="str">
        <x:v>是</x:v>
      </x:c>
      <x:c r="J4" s="32" t="str">
        <x:v>持续</x:v>
      </x:c>
      <x:c r="K4" s="32" t="str">
        <x:v>很强</x:v>
      </x:c>
      <x:c r="L4" s="32" t="str">
        <x:v>https://www.qh.chinanews.com.cn/sh/news/2025/0321/133704.html</x:v>
      </x:c>
    </x:row>
    <x:row r="5">
      <x:c r="A5" s="32" t="str">
        <x:v>R004</x:v>
      </x:c>
      <x:c r="B5" s="32" t="str">
        <x:v>囊谦地区级合作网络</x:v>
      </x:c>
      <x:c r="C5" s="32" t="str">
        <x:v>S3从红盐、芫根、大棚等多个痛点进入</x:v>
      </x:c>
      <x:c r="D5" s="32" t="str">
        <x:v>采购、直播、大棚改造、技术与平台多线并行</x:v>
      </x:c>
      <x:c r="E5" s="32" t="str">
        <x:v>当地形成基础设施和产业链升级</x:v>
      </x:c>
      <x:c r="F5" s="32" t="str">
        <x:v>S4第18期系统验收</x:v>
      </x:c>
      <x:c r="G5" s="44" t="str">
        <x:v>基础设施升级，不再单纯靠天吃饭；直播收入和盐田产出进入农户</x:v>
      </x:c>
      <x:c r="H5" s="44" t="str">
        <x:v>4 强闭环</x:v>
      </x:c>
      <x:c r="I5" s="44" t="str">
        <x:v>是</x:v>
      </x:c>
      <x:c r="J5" s="32" t="str">
        <x:v>持续</x:v>
      </x:c>
      <x:c r="K5" s="32" t="str">
        <x:v>很强</x:v>
      </x:c>
      <x:c r="L5" s="32" t="str">
        <x:v>https://news.cau.edu.cn/mtndnew/294c5976e377445787bf1e30a9bcd010.htm</x:v>
      </x:c>
    </x:row>
    <x:row r="6">
      <x:c r="A6" s="32" t="str">
        <x:v>R005</x:v>
      </x:c>
      <x:c r="B6" s="32" t="str">
        <x:v>高克新 / 林口沙棘</x:v>
      </x:c>
      <x:c r="C6" s="32" t="str">
        <x:v>S3零下29℃采沙棘，了解前五年投入困境</x:v>
      </x:c>
      <x:c r="D6" s="32" t="str">
        <x:v>沙棘皂研发、早市销售、乡村合伙人计划</x:v>
      </x:c>
      <x:c r="E6" s="32" t="str">
        <x:v>农产品展销后分红；爱侬日全国传播</x:v>
      </x:c>
      <x:c r="F6" s="32" t="str">
        <x:v>S3第39-40期返后陡门并首次自主直播</x:v>
      </x:c>
      <x:c r="G6" s="44" t="str">
        <x:v>从采收帮忙升级为产品、利益机制和销售能力赋能</x:v>
      </x:c>
      <x:c r="H6" s="44" t="str">
        <x:v>3 长期闭环</x:v>
      </x:c>
      <x:c r="I6" s="44" t="str">
        <x:v>否</x:v>
      </x:c>
      <x:c r="J6" s="32" t="str">
        <x:v>S3内持续</x:v>
      </x:c>
      <x:c r="K6" s="32" t="str">
        <x:v>强</x:v>
      </x:c>
      <x:c r="L6" s="32" t="str">
        <x:v>https://pages.iqiyi.com/p/zbs/news20250715.html</x:v>
      </x:c>
    </x:row>
    <x:row r="7">
      <x:c r="A7" s="32" t="str">
        <x:v>R006</x:v>
      </x:c>
      <x:c r="B7" s="32" t="str">
        <x:v>仲麟 / 民勤治沙</x:v>
      </x:c>
      <x:c r="C7" s="32" t="str">
        <x:v>S2民勤治沙时认识返乡创业青年仲麟</x:v>
      </x:c>
      <x:c r="D7" s="32" t="str">
        <x:v>共同种梭梭、传播返乡治沙故事</x:v>
      </x:c>
      <x:c r="E7" s="32" t="str">
        <x:v>关系延续而非一次性采访</x:v>
      </x:c>
      <x:c r="F7" s="32" t="str">
        <x:v>S3第39期到后陡门参加麦田音乐会/助农回顾</x:v>
      </x:c>
      <x:c r="G7" s="44" t="str">
        <x:v>明确形成跨季人物关系，但暂无公开量化产业结果</x:v>
      </x:c>
      <x:c r="H7" s="44" t="str">
        <x:v>3 关系闭环</x:v>
      </x:c>
      <x:c r="I7" s="44" t="str">
        <x:v>是</x:v>
      </x:c>
      <x:c r="J7" s="32" t="str">
        <x:v>持续关系</x:v>
      </x:c>
      <x:c r="K7" s="32" t="str">
        <x:v>强</x:v>
      </x:c>
      <x:c r="L7" s="32" t="str">
        <x:v>https://www.iqiyi.com/a_1m6mg3fkjcd.html</x:v>
      </x:c>
    </x:row>
    <x:row r="8">
      <x:c r="A8" s="32" t="str">
        <x:v>R007</x:v>
      </x:c>
      <x:c r="B8" s="32" t="str">
        <x:v>宁乡花猪 / 贺大姐等</x:v>
      </x:c>
      <x:c r="C8" s="32" t="str">
        <x:v>S3进入宁乡花猪产业，发现高价与成熟供应链壁垒</x:v>
      </x:c>
      <x:c r="D8" s="32" t="str">
        <x:v>养殖体验、市场走访、寻找合作品牌</x:v>
      </x:c>
      <x:c r="E8" s="32" t="str">
        <x:v>爱侬日相关库存快速售罄；伙伴参与研讨会</x:v>
      </x:c>
      <x:c r="F8" s="32" t="str">
        <x:v>S3第39期再次到后陡门</x:v>
      </x:c>
      <x:c r="G8" s="44" t="str">
        <x:v>官方称品牌赋能拓宽销路</x:v>
      </x:c>
      <x:c r="H8" s="44" t="str">
        <x:v>3 长期闭环</x:v>
      </x:c>
      <x:c r="I8" s="44" t="str">
        <x:v>否</x:v>
      </x:c>
      <x:c r="J8" s="32" t="str">
        <x:v>S3内持续</x:v>
      </x:c>
      <x:c r="K8" s="32" t="str">
        <x:v>强</x:v>
      </x:c>
      <x:c r="L8" s="32" t="str">
        <x:v>https://pages.iqiyi.com/p/zbs/news20250715.html</x:v>
      </x:c>
    </x:row>
    <x:row r="9">
      <x:c r="A9" s="32" t="str">
        <x:v>R008</x:v>
      </x:c>
      <x:c r="B9" s="32" t="str">
        <x:v>爱侬日助农平台</x:v>
      </x:c>
      <x:c r="C9" s="32" t="str">
        <x:v>S2第37期形成新农人论坛+直播</x:v>
      </x:c>
      <x:c r="D9" s="32" t="str">
        <x:v>S3升级为全国农文旅“1+N”直播</x:v>
      </x:c>
      <x:c r="E9" s="32" t="str">
        <x:v>联动15家直播间、300余款农产品、1.4亿+观看</x:v>
      </x:c>
      <x:c r="F9" s="32" t="str">
        <x:v>S3第40期进一步做农户自主直播培训</x:v>
      </x:c>
      <x:c r="G9" s="44" t="str">
        <x:v>从“平台替农人卖”升级为“平台+农人自己卖”</x:v>
      </x:c>
      <x:c r="H9" s="44" t="str">
        <x:v>4 平台闭环</x:v>
      </x:c>
      <x:c r="I9" s="44" t="str">
        <x:v>是</x:v>
      </x:c>
      <x:c r="J9" s="32" t="str">
        <x:v>持续IP</x:v>
      </x:c>
      <x:c r="K9" s="32" t="str">
        <x:v>很强</x:v>
      </x:c>
      <x:c r="L9" s="32" t="str">
        <x:v>https://pages.iqiyi.com/p/zbs/news20250715.html</x:v>
      </x:c>
    </x:row>
    <x:row r="10">
      <x:c r="A10" s="32" t="str">
        <x:v>R009</x:v>
      </x:c>
      <x:c r="B10" s="32" t="str">
        <x:v>李鹏 / 策勒红枣</x:v>
      </x:c>
      <x:c r="C10" s="32" t="str">
        <x:v>S4第14期发现300吨以上库存</x:v>
      </x:c>
      <x:c r="D10" s="32" t="str">
        <x:v>第15期做深加工研发，第16期排练直播情景剧</x:v>
      </x:c>
      <x:c r="E10" s="32" t="str">
        <x:v>第17期以治沙故事+直播卖枣</x:v>
      </x:c>
      <x:c r="F10" s="32" t="str">
        <x:v>同季直播结果即时验收</x:v>
      </x:c>
      <x:c r="G10" s="44" t="str">
        <x:v>1小时售出94吨；企业店累计超200吨</x:v>
      </x:c>
      <x:c r="H10" s="44" t="str">
        <x:v>4 强闭环</x:v>
      </x:c>
      <x:c r="I10" s="44" t="str">
        <x:v>否</x:v>
      </x:c>
      <x:c r="J10" s="32" t="str">
        <x:v>同季完成</x:v>
      </x:c>
      <x:c r="K10" s="32" t="str">
        <x:v>很强</x:v>
      </x:c>
      <x:c r="L10" s="32" t="str">
        <x:v>https://news.cau.edu.cn/mtndnew/294c5976e377445787bf1e30a9bcd010.htm</x:v>
      </x:c>
    </x:row>
    <x:row r="11">
      <x:c r="A11" s="32" t="str">
        <x:v>R010</x:v>
      </x:c>
      <x:c r="B11" s="32" t="str">
        <x:v>买吐地一家 / 沙漠玫瑰</x:v>
      </x:c>
      <x:c r="C11" s="32" t="str">
        <x:v>S4第7-8期进入农户家庭和沙漠玫瑰种植</x:v>
      </x:c>
      <x:c r="D11" s="32" t="str">
        <x:v>共同种植、考察加工</x:v>
      </x:c>
      <x:c r="E11" s="32" t="str">
        <x:v>不足20天回访长出新绿</x:v>
      </x:c>
      <x:c r="F11" s="32" t="str">
        <x:v>S4第18期前同季回访</x:v>
      </x:c>
      <x:c r="G11" s="44" t="str">
        <x:v>不仅回看生长，还保留推广玫瑰花馕的后续承诺</x:v>
      </x:c>
      <x:c r="H11" s="44" t="str">
        <x:v>3 关系闭环</x:v>
      </x:c>
      <x:c r="I11" s="44" t="str">
        <x:v>否</x:v>
      </x:c>
      <x:c r="J11" s="32" t="str">
        <x:v>持续</x:v>
      </x:c>
      <x:c r="K11" s="32" t="str">
        <x:v>强</x:v>
      </x:c>
      <x:c r="L11" s="32" t="str">
        <x:v>https://news.cau.edu.cn/mtndnew/294c5976e377445787bf1e30a9bcd010.htm</x:v>
      </x:c>
    </x:row>
    <x:row r="12">
      <x:c r="A12" s="32" t="str">
        <x:v>R011</x:v>
      </x:c>
      <x:c r="B12" s="32" t="str">
        <x:v>加依村治沙项目</x:v>
      </x:c>
      <x:c r="C12" s="32" t="str">
        <x:v>S4进入沙漠边缘，发现基础设施与风沙问题</x:v>
      </x:c>
      <x:c r="D12" s="32" t="str">
        <x:v>推沙、打井、铺管、光伏、沙枣苗</x:v>
      </x:c>
      <x:c r="E12" s="32" t="str">
        <x:v>约12天后回访</x:v>
      </x:c>
      <x:c r="F12" s="32" t="str">
        <x:v>S4第18期前同季验收</x:v>
      </x:c>
      <x:c r="G12" s="44" t="str">
        <x:v>100亩区域地貌与设施已有明显变化，村方继续规划开荒</x:v>
      </x:c>
      <x:c r="H12" s="44" t="str">
        <x:v>3 项目闭环</x:v>
      </x:c>
      <x:c r="I12" s="44" t="str">
        <x:v>否</x:v>
      </x:c>
      <x:c r="J12" s="32" t="str">
        <x:v>持续</x:v>
      </x:c>
      <x:c r="K12" s="32" t="str">
        <x:v>强</x:v>
      </x:c>
      <x:c r="L12" s="32" t="str">
        <x:v>https://news.cau.edu.cn/mtndnew/294c5976e377445787bf1e30a9bcd010.htm</x:v>
      </x:c>
    </x:row>
  </x:sheetData>
  <x:dataValidations count="2">
    <x:dataValidation type="list" sqref="I2:I12">
      <x:formula1>"是,否"</x:formula1>
    </x:dataValidation>
    <x:dataValidation type="list" sqref="K2:K12">
      <x:formula1>"很强,强,中,弱"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fa10d200d64ec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2" hidden="0" customWidth="1"/>
    <x:col min="4" max="4" width="18" hidden="0" customWidth="1"/>
    <x:col min="5" max="5" width="12" hidden="0" customWidth="1"/>
    <x:col min="6" max="6" width="45" hidden="0" customWidth="1"/>
    <x:col min="7" max="7" width="46" hidden="0" customWidth="1"/>
  </x:cols>
  <x:sheetData>
    <x:row r="1">
      <x:c r="A1" s="47" t="str">
        <x:v>《种地吧》助农关系数据库 Dashboard</x:v>
      </x:c>
      <x:c r="B1" s="47"/>
      <x:c r="C1" s="47"/>
      <x:c r="D1" s="47"/>
      <x:c r="E1" s="47"/>
      <x:c r="F1" s="47"/>
      <x:c r="G1" s="47"/>
      <x:c r="H1" s="47"/>
    </x:row>
    <x:row r="3">
      <x:c r="A3" s="41" t="str">
        <x:v>核心指标</x:v>
      </x:c>
      <x:c r="B3" s="41" t="str">
        <x:v>数值</x:v>
      </x:c>
      <x:c r="D3" s="40" t="str">
        <x:v>节目/阶段</x:v>
      </x:c>
      <x:c r="E3" s="40" t="str">
        <x:v>事件数</x:v>
      </x:c>
      <x:c r="F3" s="40" t="str">
        <x:v>强闭环/长期事件</x:v>
      </x:c>
      <x:c r="G3" s="40" t="str">
        <x:v>说明</x:v>
      </x:c>
    </x:row>
    <x:row r="4">
      <x:c r="A4" s="49" t="str">
        <x:v>可识别实体/对象数</x:v>
      </x:c>
      <x:c r="B4" s="50" t="n">
        <x:f>COUNTA('助农实体库'!A2:A20)</x:f>
        <x:v>19</x:v>
      </x:c>
      <x:c r="D4" s="16" t="str">
        <x:v>种地吧S2</x:v>
      </x:c>
      <x:c r="E4" s="16" t="n">
        <x:f>COUNTIF('助农事件明细'!C2:C32,D4)</x:f>
        <x:v>6</x:v>
      </x:c>
      <x:c r="F4" s="16" t="n">
        <x:f>COUNTIFS('助农事件明细'!C2:C32,D4,'助农事件明细'!G2:G32,"4 强闭环")+COUNTIFS('助农事件明细'!C2:C32,D4,'助农事件明细'!G2:G32,"4 长期机制")</x:f>
        <x:v>0</x:v>
      </x:c>
      <x:c r="G4" s="16" t="str">
        <x:v>异地治沙、直播、外采与爱侬日平台萌芽</x:v>
      </x:c>
    </x:row>
    <x:row r="5">
      <x:c r="A5" s="49" t="str">
        <x:v>助农事件数</x:v>
      </x:c>
      <x:c r="B5" s="50" t="n">
        <x:f>COUNTA('助农事件明细'!A2:A32)</x:f>
        <x:v>31</x:v>
      </x:c>
      <x:c r="D5" s="16" t="str">
        <x:v>种地吧S3</x:v>
      </x:c>
      <x:c r="E5" s="16" t="n">
        <x:f>COUNTIF('助农事件明细'!C2:C32,D5)</x:f>
        <x:v>13</x:v>
      </x:c>
      <x:c r="F5" s="16" t="n">
        <x:f>COUNTIFS('助农事件明细'!C2:C32,D5,'助农事件明细'!G2:G32,"4 强闭环")+COUNTIFS('助农事件明细'!C2:C32,D5,'助农事件明细'!G2:G32,"4 长期机制")</x:f>
        <x:v>4</x:v>
      </x:c>
      <x:c r="G5" s="16" t="str">
        <x:v>乡村合伙人、基建、产地采购、爱侬日全国联动、能力培训</x:v>
      </x:c>
    </x:row>
    <x:row r="6">
      <x:c r="A6" s="49" t="str">
        <x:v>跨季关系数</x:v>
      </x:c>
      <x:c r="B6" s="50" t="n">
        <x:f>COUNTIF('回访与长期关系'!I2:I12,"是")</x:f>
        <x:v>6</x:v>
      </x:c>
      <x:c r="D6" s="16" t="str">
        <x:v>种地吧S4</x:v>
      </x:c>
      <x:c r="E6" s="16" t="n">
        <x:f>COUNTIF('助农事件明细'!C2:C32,D6)</x:f>
        <x:v>12</x:v>
      </x:c>
      <x:c r="F6" s="16" t="n">
        <x:f>COUNTIFS('助农事件明细'!C2:C32,D6,'助农事件明细'!G2:G32,"4 强闭环")+COUNTIFS('助农事件明细'!C2:C32,D6,'助农事件明细'!G2:G32,"4 长期机制")</x:f>
        <x:v>4</x:v>
      </x:c>
      <x:c r="G6" s="16" t="str">
        <x:v>产区诊断→研发→直播→回访验收；跨季成果开始可量化</x:v>
      </x:c>
    </x:row>
    <x:row r="7">
      <x:c r="A7" s="49" t="str">
        <x:v>强闭环/长期机制事件数</x:v>
      </x:c>
      <x:c r="B7" s="50" t="n">
        <x:f>COUNTIF('助农事件明细'!G2:G32,"4 强闭环")+COUNTIF('助农事件明细'!G2:G32,"4 长期机制")</x:f>
        <x:v>8</x:v>
      </x:c>
    </x:row>
    <x:row r="8">
      <x:c r="A8" s="49" t="str">
        <x:v>有明确量化结果的事件数</x:v>
      </x:c>
      <x:c r="B8" s="50" t="n">
        <x:f>COUNTIF('助农事件明细'!R2:R32,"是")</x:f>
        <x:v>7</x:v>
      </x:c>
    </x:row>
    <x:row r="9">
      <x:c r="D9" s="40" t="str">
        <x:v>助农模式</x:v>
      </x:c>
      <x:c r="E9" s="40" t="str">
        <x:v>事件数</x:v>
      </x:c>
      <x:c r="F9" s="40" t="str">
        <x:v>典型意义</x:v>
      </x:c>
    </x:row>
    <x:row r="10">
      <x:c r="A10" s="52" t="str">
        <x:v>最值得关注的长期闭环</x:v>
      </x:c>
      <x:c r="B10" s="52"/>
      <x:c r="D10" s="16" t="str">
        <x:v>生态/基建</x:v>
      </x:c>
      <x:c r="E10" s="16" t="n">
        <x:f>COUNTIF('助农事件明细'!H2:H32,"生态助农/治沙")+COUNTIF('助农事件明细'!H2:H32,"基建/技术助农")+COUNTIF('助农事件明细'!H2:H32,"治沙/基建")</x:f>
        <x:v>3</x:v>
      </x:c>
      <x:c r="F10" s="16" t="str">
        <x:v>先改善生产条件，再谈产品和销售</x:v>
      </x:c>
    </x:row>
    <x:row r="11">
      <x:c r="A11" s="49" t="str">
        <x:v>囊谦水培</x:v>
      </x:c>
      <x:c r="B11" s="16" t="str">
        <x:v>S3改造大棚 → S4成林成为当地水培技术指导并带动其他农户</x:v>
      </x:c>
      <x:c r="D11" s="16" t="str">
        <x:v>产品研发</x:v>
      </x:c>
      <x:c r="E11" s="16" t="n">
        <x:f>COUNTIF('助农事件明细'!H2:H32,"劳动助农/产品研发")+COUNTIF('助农事件明细'!H2:H32,"产品迭代/生产")+COUNTIF('助农事件明细'!H2:H32,"产品研发")</x:f>
        <x:v>3</x:v>
      </x:c>
      <x:c r="F11" s="16" t="str">
        <x:v>从卖原料升级到加工和品牌</x:v>
      </x:c>
    </x:row>
    <x:row r="12">
      <x:c r="A12" s="49" t="str">
        <x:v>白扎盐场</x:v>
      </x:c>
      <x:c r="B12" s="16" t="str">
        <x:v>S3采购/传播 → S4回访：年产盐量+约100吨、户均增收约1万-2万元</x:v>
      </x:c>
      <x:c r="D12" s="16" t="str">
        <x:v>采购/渠道</x:v>
      </x:c>
      <x:c r="E12" s="16" t="n">
        <x:f>COUNTIF('助农事件明细'!H2:H32,"采购/加工助农")+COUNTIF('助农事件明细'!H2:H32,"产地采购")+COUNTIF('助农事件明细'!H2:H32,"产地采购/传统技艺")+COUNTIF('助农事件明细'!H2:H32,"农产品推介/渠道")</x:f>
        <x:v>4</x:v>
      </x:c>
      <x:c r="F12" s="16" t="str">
        <x:v>把节目流量变成真实交易关系</x:v>
      </x:c>
    </x:row>
    <x:row r="13">
      <x:c r="A13" s="49" t="str">
        <x:v>芫根产业</x:v>
      </x:c>
      <x:c r="B13" s="16" t="str">
        <x:v>S3直播3万件1秒售罄/超190万元 → 产品迭代、自主直播 → S4产业链继续成熟</x:v>
      </x:c>
      <x:c r="D13" s="16" t="str">
        <x:v>直播/平台</x:v>
      </x:c>
      <x:c r="E13" s="16" t="n">
        <x:f>COUNTIF('助农事件明细'!H2:H32,"直播助农")+COUNTIF('助农事件明细'!H2:H32,"平台/直播")+COUNTIF('助农事件明细'!H2:H32,"平台助农/直播")</x:f>
        <x:v>5</x:v>
      </x:c>
      <x:c r="F13" s="16" t="str">
        <x:v>集中放大销量与曝光，并连接全国农人</x:v>
      </x:c>
    </x:row>
    <x:row r="14">
      <x:c r="A14" s="49" t="str">
        <x:v>策勒红枣</x:v>
      </x:c>
      <x:c r="B14" s="16" t="str">
        <x:v>300吨+库存 → 深加工研发 → 直播1小时94吨 → 企业店累计超200吨</x:v>
      </x:c>
      <x:c r="D14" s="16" t="str">
        <x:v>能力培训</x:v>
      </x:c>
      <x:c r="E14" s="16" t="n">
        <x:f>COUNTIF('助农事件明细'!H2:H32,"能力培训/自主直播")</x:f>
        <x:v>2</x:v>
      </x:c>
      <x:c r="F14" s="16" t="str">
        <x:v>从替农户卖货升级到教农户自己卖</x:v>
      </x:c>
    </x:row>
    <x:row r="15">
      <x:c r="A15" s="49" t="str">
        <x:v>爱侬日</x:v>
      </x:c>
      <x:c r="B15" s="16" t="str">
        <x:v>S2论坛+直播 → S3“1+N”全国联动15家直播间、300+产品、1.4亿+观看</x:v>
      </x:c>
      <x:c r="D15" s="16" t="str">
        <x:v>回访/验收</x:v>
      </x:c>
      <x:c r="E15" s="16" t="n">
        <x:f>COUNTIF('助农事件明细'!H2:H32,"关系回访")+COUNTIF('助农事件明细'!H2:H32,"跨季回访/验收")+COUNTIF('助农事件明细'!H2:H32,"跨季回访/产业链")</x:f>
        <x:v>3</x:v>
      </x:c>
      <x:c r="F15" s="16" t="str">
        <x:v>检验上一阶段是否真的留下长期结果</x:v>
      </x:c>
    </x:row>
    <x:row r="17">
      <x:c r="D17" s="64" t="str">
        <x:v>注：助农方式按事件主标签归类；部分事件可能同时具有直播、渠道、产品研发等多重属性，因此用于观察结构，不作为互斥占比。</x:v>
      </x:c>
      <x:c r="E17" s="64"/>
      <x:c r="F17" s="64"/>
    </x:row>
  </x:sheetData>
  <x:mergeCells>
    <x:mergeCell ref="A1:H1"/>
    <x:mergeCell ref="A10:B10"/>
    <x:mergeCell ref="D17:F17"/>
  </x:mergeCells>
  <x:pageMargins left="0.7" right="0.7" top="0.75" bottom="0.75" header="0.3" footer="0.3"/>
  <x:drawing xmlns:r="http://schemas.openxmlformats.org/officeDocument/2006/relationships" r:id="R47bff7c82b0c4f1a"/>
</x:worksheet>
</file>

<file path=xl/worksheets/sheet1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50" hidden="0" customWidth="1"/>
    <x:col min="4" max="4" width="36" hidden="0" customWidth="1"/>
    <x:col min="5" max="5" width="34" hidden="0" customWidth="1"/>
    <x:col min="6" max="6" width="35" hidden="0" customWidth="1"/>
  </x:cols>
  <x:sheetData>
    <x:row r="1">
      <x:c r="A1" s="41" t="str">
        <x:v>字段/概念</x:v>
      </x:c>
      <x:c r="B1" s="41" t="str">
        <x:v>定义</x:v>
      </x:c>
      <x:c r="C1" s="41" t="str">
        <x:v>判定规则</x:v>
      </x:c>
      <x:c r="D1" s="41" t="str">
        <x:v>例子</x:v>
      </x:c>
      <x:c r="E1" s="41" t="str">
        <x:v>不计入情形</x:v>
      </x:c>
      <x:c r="F1" s="41" t="str">
        <x:v>备注</x:v>
      </x:c>
    </x:row>
    <x:row r="2">
      <x:c r="A2" s="16" t="str">
        <x:v>助农层级1：关系建立/诊断</x:v>
      </x:c>
      <x:c r="B2" s="16" t="str">
        <x:v>看见产区、认识农人、识别问题</x:v>
      </x:c>
      <x:c r="C2" s="16" t="str">
        <x:v>没有直接资源投入或交易，但形成明确后续任务</x:v>
      </x:c>
      <x:c r="D2" s="16" t="str">
        <x:v>S3首访囊谦大棚</x:v>
      </x:c>
      <x:c r="E2" s="16" t="str">
        <x:v>单纯游戏或景点打卡</x:v>
      </x:c>
      <x:c r="F2" s="16" t="str">
        <x:v>用于区分“游学传播”和真正帮扶</x:v>
      </x:c>
    </x:row>
    <x:row r="3">
      <x:c r="A3" s="16" t="str">
        <x:v>助农层级2：直接行动</x:v>
      </x:c>
      <x:c r="B3" s="16" t="str">
        <x:v>投入劳动、技术、传播或资源解决当期问题</x:v>
      </x:c>
      <x:c r="C3" s="16" t="str">
        <x:v>必须存在明确对象和行动</x:v>
      </x:c>
      <x:c r="D3" s="16" t="str">
        <x:v>民勤种梭梭；西双版纳讨论受灾水果</x:v>
      </x:c>
      <x:c r="E3" s="16" t="str">
        <x:v>只有口头称赞产品</x:v>
      </x:c>
      <x:c r="F3" s="16" t="str">
        <x:v>结果未必已量化</x:v>
      </x:c>
    </x:row>
    <x:row r="4">
      <x:c r="A4" s="16" t="str">
        <x:v>助农层级3：合作</x:v>
      </x:c>
      <x:c r="B4" s="16" t="str">
        <x:v>形成采购、产品、渠道、基建或利益关系</x:v>
      </x:c>
      <x:c r="C4" s="16" t="str">
        <x:v>行动超越一次劳动，进入经营/能力建设</x:v>
      </x:c>
      <x:c r="D4" s="16" t="str">
        <x:v>红盐采购；水培大棚改造</x:v>
      </x:c>
      <x:c r="E4" s="16" t="str">
        <x:v>节目自家农产品普通销售</x:v>
      </x:c>
      <x:c r="F4" s="16" t="str">
        <x:v>通常有后续节点</x:v>
      </x:c>
    </x:row>
    <x:row r="5">
      <x:c r="A5" s="16" t="str">
        <x:v>助农层级4：长期机制/强闭环</x:v>
      </x:c>
      <x:c r="B5" s="16" t="str">
        <x:v>有复访、分红、培训、量化销量/增收或跨季验证</x:v>
      </x:c>
      <x:c r="C5" s="16" t="str">
        <x:v>至少一项长期证据</x:v>
      </x:c>
      <x:c r="D5" s="16" t="str">
        <x:v>囊谦S3→S4；策勒红枣94吨</x:v>
      </x:c>
      <x:c r="E5" s="16" t="str">
        <x:v>只有一次曝光</x:v>
      </x:c>
      <x:c r="F5" s="16" t="str">
        <x:v>数据库最重要字段</x:v>
      </x:c>
    </x:row>
    <x:row r="6">
      <x:c r="A6" s="16" t="str">
        <x:v>跨季延续</x:v>
      </x:c>
      <x:c r="B6" s="16" t="str">
        <x:v>同一农人/产区/项目在不同季再次出现或有明确成果回访</x:v>
      </x:c>
      <x:c r="C6" s="16" t="str">
        <x:v>需可验证同一对象或项目</x:v>
      </x:c>
      <x:c r="D6" s="16" t="str">
        <x:v>仲麟S2→S3；囊谦S3→S4</x:v>
      </x:c>
      <x:c r="E6" s="16" t="str">
        <x:v>主题相似但对象不同</x:v>
      </x:c>
      <x:c r="F6" s="16" t="str">
        <x:v>不能只凭推测</x:v>
      </x:c>
    </x:row>
    <x:row r="7">
      <x:c r="A7" s="16" t="str">
        <x:v>可量化结果</x:v>
      </x:c>
      <x:c r="B7" s="16" t="str">
        <x:v>销量、销售额、增产、增收、观看量等公开数字</x:v>
      </x:c>
      <x:c r="C7" s="16" t="str">
        <x:v>来源需明确，优先官方/主流媒体</x:v>
      </x:c>
      <x:c r="D7" s="16" t="str">
        <x:v>芫根超190万元；盐场+100吨</x:v>
      </x:c>
      <x:c r="E7" s="16" t="str">
        <x:v>“反响很好”等模糊表述</x:v>
      </x:c>
      <x:c r="F7" s="16" t="str">
        <x:v>数字与来源同时保留</x:v>
      </x:c>
    </x:row>
    <x:row r="8">
      <x:c r="A8" s="16" t="str">
        <x:v>关系级别</x:v>
      </x:c>
      <x:c r="B8" s="16" t="str">
        <x:v>1观察；2直接帮扶；3合作；4长期伙伴/平台</x:v>
      </x:c>
      <x:c r="C8" s="16" t="str">
        <x:v>按最深合作阶段判定</x:v>
      </x:c>
      <x:c r="D8" s="16" t="str">
        <x:v>成林=4</x:v>
      </x:c>
      <x:c r="E8" s="16" t="str">
        <x:v>不按嘉宾咖位判定</x:v>
      </x:c>
      <x:c r="F8" s="16" t="str">
        <x:v>实体级标签</x:v>
      </x:c>
    </x:row>
    <x:row r="9">
      <x:c r="A9" s="16" t="str">
        <x:v>置信度</x:v>
      </x:c>
      <x:c r="B9" s="16" t="str">
        <x:v>高/中高/中/中低/低</x:v>
      </x:c>
      <x:c r="C9" s="16" t="str">
        <x:v>高=官方节目页或权威媒体直接支持；中=多来源主题级归纳</x:v>
      </x:c>
      <x:c r="D9" s="16" t="str">
        <x:v>囊谦跨季=高</x:v>
      </x:c>
      <x:c r="E9" s="16" t="str">
        <x:v>无法核实名字/销量时降级</x:v>
      </x:c>
      <x:c r="F9" s="16" t="str">
        <x:v>与原逐期表口径一致</x:v>
      </x:c>
    </x:row>
  </x:sheetData>
  <x:pageMargins left="0.7" right="0.7" top="0.75" bottom="0.75" header="0.3" footer="0.3"/>
</x:worksheet>
</file>