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89a535fd83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eb33ef9dc1b54bfe"/>
    <x:sheet xmlns:r="http://schemas.openxmlformats.org/officeDocument/2006/relationships" name="地点节点" sheetId="2" r:id="R147b4c6c7cdd4d07"/>
    <x:sheet xmlns:r="http://schemas.openxmlformats.org/officeDocument/2006/relationships" name="人物账号" sheetId="3" r:id="Ra0a3b2602bc94bc7"/>
    <x:sheet xmlns:r="http://schemas.openxmlformats.org/officeDocument/2006/relationships" name="资料来源" sheetId="4" r:id="R8c348d32b7b34f49"/>
    <x:sheet xmlns:r="http://schemas.openxmlformats.org/officeDocument/2006/relationships" name="待办队列" sheetId="5" r:id="Rb9975f210a5c49b5"/>
    <x:sheet xmlns:r="http://schemas.openxmlformats.org/officeDocument/2006/relationships" name="字段字典" sheetId="6" r:id="R7987f03f36784c7e"/>
    <x:sheet xmlns:r="http://schemas.openxmlformats.org/officeDocument/2006/relationships" name="变更日志" sheetId="7" r:id="Rde95d8b5aea84947"/>
  </x:sheets>
</x:workbook>
</file>

<file path=xl/comments1.xml><?xml version="1.0" encoding="utf-8"?>
<x:comments xmlns:x="http://schemas.openxmlformats.org/spreadsheetml/2006/main">
  <x:authors>
    <x:author>tc={06B7B175-CFBB-667F-760C-A8543613476D}</x:author>
    <x:author>tc={886DF0BB-C565-7C0A-EB37-A1B1D727A098}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地点节点来自 reference/种地吧助农地图资料库.md。节点 ID 为永久 ID，不因名称变化而重新分配。</x:t>
        </x:r>
      </x:text>
    </x:comment>
    <x:comment ref="D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纬度、经度使用 WGS-84 十进制度数；坐标格式为纬度，经度。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"/>
    <x:numFmt numFmtId="202" formatCode="@"/>
    <x:numFmt numFmtId="203" formatCode="yyyy-mm-dd"/>
  </x:numFmts>
  <x:fonts count="10">
    <x:font>
      <x:sz val="11"/>
      <x:name val="Carlito"/>
    </x:font>
    <x:font>
      <x:b/>
      <x:sz val="22"/>
      <x:color rgb="FFFFF8E8"/>
      <x:name val="Carlito"/>
    </x:font>
    <x:font>
      <x:i/>
      <x:sz val="11"/>
      <x:color rgb="FF7A603F"/>
      <x:name val="Carlito"/>
    </x:font>
    <x:font>
      <x:b/>
      <x:sz val="11"/>
      <x:color rgb="FF7A603F"/>
      <x:name val="Carlito"/>
    </x:font>
    <x:font>
      <x:b/>
      <x:sz val="22"/>
      <x:color rgb="FF5F8F3E"/>
      <x:name val="Carlito"/>
    </x:font>
    <x:font>
      <x:b/>
      <x:sz val="11"/>
      <x:color rgb="FF4A321D"/>
      <x:name val="Carlito"/>
    </x:font>
    <x:font>
      <x:sz val="11"/>
      <x:color rgb="FF4A321D"/>
      <x:name val="Carlito"/>
    </x:font>
    <x:font>
      <x:b/>
      <x:sz val="11"/>
      <x:color rgb="FFFFFFFF"/>
      <x:name val="Carlito"/>
    </x:font>
    <x:font>
      <x:b/>
      <x:sz val="10"/>
      <x:color rgb="FF4A321D"/>
      <x:name val="Carlito"/>
    </x:font>
    <x:font>
      <x:sz val="10"/>
      <x:color rgb="FF4A321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A321D"/>
      </x:patternFill>
    </x:fill>
    <x:fill>
      <x:patternFill patternType="solid">
        <x:fgColor rgb="FFF8EFD9"/>
      </x:patternFill>
    </x:fill>
    <x:fill>
      <x:patternFill patternType="solid">
        <x:fgColor rgb="FFE9F0CF"/>
      </x:patternFill>
    </x:fill>
    <x:fill>
      <x:patternFill patternType="solid">
        <x:fgColor rgb="FFFFF8E8"/>
      </x:patternFill>
    </x:fill>
    <x:fill>
      <x:patternFill patternType="solid">
        <x:fgColor rgb="FFD6A93F"/>
      </x:patternFill>
    </x:fill>
    <x:fill>
      <x:patternFill patternType="solid">
        <x:fgColor rgb="FF5F8F3E"/>
      </x:patternFill>
    </x:fill>
  </x:fills>
  <x:borders count="16">
    <x:border/>
    <x:border>
      <x:left style="thin">
        <x:color rgb="FFE4D7B9"/>
      </x:left>
      <x:top style="thin">
        <x:color rgb="FFE4D7B9"/>
      </x:top>
    </x:border>
    <x:border>
      <x:right style="thin">
        <x:color rgb="FFE4D7B9"/>
      </x:right>
      <x:top style="thin">
        <x:color rgb="FFE4D7B9"/>
      </x:top>
    </x:border>
    <x:border>
      <x:left style="thin">
        <x:color rgb="FFE4D7B9"/>
      </x:left>
      <x:bottom style="thin">
        <x:color rgb="FFE4D7B9"/>
      </x:bottom>
    </x:border>
    <x:border>
      <x:right style="thin">
        <x:color rgb="FFE4D7B9"/>
      </x:right>
      <x:bottom style="thin">
        <x:color rgb="FFE4D7B9"/>
      </x:bottom>
    </x:border>
    <x:border>
      <x:top style="thin">
        <x:color rgb="FFE4D7B9"/>
      </x:top>
    </x:border>
    <x:border>
      <x:left style="thin">
        <x:color rgb="FFE4D7B9"/>
      </x:left>
    </x:border>
    <x:border>
      <x:right style="thin">
        <x:color rgb="FFE4D7B9"/>
      </x:right>
    </x:border>
    <x:border>
      <x:bottom style="thin">
        <x:color rgb="FFE4D7B9"/>
      </x:bottom>
    </x:border>
    <x:border>
      <x:left style="thin">
        <x:color rgb="FF3F6F32"/>
      </x:left>
      <x:top style="thin">
        <x:color rgb="FF3F6F32"/>
      </x:top>
      <x:bottom style="thin">
        <x:color rgb="FF3F6F32"/>
      </x:bottom>
    </x:border>
    <x:border>
      <x:top style="thin">
        <x:color rgb="FF3F6F32"/>
      </x:top>
      <x:bottom style="thin">
        <x:color rgb="FF3F6F32"/>
      </x:bottom>
    </x:border>
    <x:border>
      <x:right style="thin">
        <x:color rgb="FF3F6F32"/>
      </x:right>
      <x:top style="thin">
        <x:color rgb="FF3F6F32"/>
      </x:top>
      <x:bottom style="thin">
        <x:color rgb="FF3F6F32"/>
      </x:bottom>
    </x:border>
    <x:border>
      <x:left style="thin">
        <x:color rgb="FF3F6F32"/>
      </x:left>
      <x:top style="thin">
        <x:color rgb="FF3F6F32"/>
      </x:top>
      <x:bottom style="thin">
        <x:color rgb="FFE4D7B9"/>
      </x:bottom>
    </x:border>
    <x:border>
      <x:top style="thin">
        <x:color rgb="FF3F6F32"/>
      </x:top>
      <x:bottom style="thin">
        <x:color rgb="FFE4D7B9"/>
      </x:bottom>
    </x:border>
    <x:border>
      <x:left style="thin">
        <x:color rgb="FF3F6F32"/>
      </x:left>
      <x:top style="thin">
        <x:color rgb="FFE4D7B9"/>
      </x:top>
      <x:bottom style="thin">
        <x:color rgb="FFE4D7B9"/>
      </x:bottom>
    </x:border>
    <x:border>
      <x:top style="thin">
        <x:color rgb="FFE4D7B9"/>
      </x:top>
      <x:bottom style="thin">
        <x:color rgb="FFE4D7B9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2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3" xfId="0" applyNumberFormat="1" applyFont="1" applyFill="1" applyBorder="1"/>
    <x:xf numFmtId="0" fontId="6" fillId="5" borderId="8" xfId="0" applyNumberFormat="1" applyFont="1" applyFill="1" applyBorder="1"/>
    <x:xf numFmtId="0" fontId="6" fillId="5" borderId="4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8" fillId="7" borderId="9" xfId="0" applyNumberFormat="1" applyFont="1" applyFill="1" applyBorder="1" applyAlignment="1">
      <x:alignment vertical="top" wrapText="1"/>
    </x:xf>
    <x:xf numFmtId="0" fontId="8" fillId="7" borderId="10" xfId="0" applyNumberFormat="1" applyFont="1" applyFill="1" applyBorder="1" applyAlignment="1">
      <x:alignment vertical="top" wrapText="1"/>
    </x:xf>
    <x:xf numFmtId="0" fontId="8" fillId="7" borderId="1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8" fillId="7" borderId="12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/>
    </x:xf>
    <x:xf numFmtId="0" fontId="9" fillId="0" borderId="15" xfId="0" applyNumberFormat="1" applyFont="1" applyFill="1" applyBorder="1" applyAlignment="1">
      <x:alignment vertical="top"/>
    </x:xf>
    <x:xf numFmtId="201" fontId="9" fillId="0" borderId="15" xfId="0" applyNumberFormat="1" applyFont="1" applyFill="1" applyBorder="1" applyAlignment="1">
      <x:alignment vertical="top"/>
    </x:xf>
    <x:xf numFmtId="202" fontId="9" fillId="0" borderId="14" xfId="0" applyNumberFormat="1" applyFont="1" applyFill="1" applyBorder="1" applyAlignment="1">
      <x:alignment vertical="top"/>
    </x:xf>
    <x:xf numFmtId="202" fontId="9" fillId="0" borderId="14" xfId="0" applyNumberFormat="1" applyFont="1" applyFill="1" applyBorder="1" applyAlignment="1">
      <x:alignment vertical="top" wrapText="1"/>
    </x:xf>
    <x:xf numFmtId="0" fontId="9" fillId="0" borderId="15" xfId="0" applyNumberFormat="1" applyFont="1" applyFill="1" applyBorder="1" applyAlignment="1">
      <x:alignment vertical="top" wrapText="1"/>
    </x:xf>
    <x:xf numFmtId="201" fontId="9" fillId="0" borderId="15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203" fontId="9" fillId="0" borderId="15" xfId="0" applyNumberFormat="1" applyFont="1" applyFill="1" applyBorder="1" applyAlignment="1">
      <x:alignment vertical="top" wrapText="1"/>
    </x:xf>
    <x:xf numFmtId="203" fontId="9" fillId="0" borderId="15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3F6F32"/>
      </x:font>
      <x:fill>
        <x:patternFill patternType="solid">
          <x:bgColor rgb="FFDDECCB"/>
        </x:patternFill>
      </x:fill>
    </x:dxf>
    <x:dxf>
      <x:font>
        <x:b/>
        <x:color rgb="FF7A5A18"/>
      </x:font>
      <x:fill>
        <x:patternFill patternType="solid">
          <x:bgColor rgb="FFF7E7B1"/>
        </x:patternFill>
      </x:fill>
    </x:dxf>
    <x:dxf>
      <x:font>
        <x:b/>
        <x:color rgb="FF8B2F20"/>
      </x:font>
      <x:fill>
        <x:patternFill patternType="solid">
          <x:bgColor rgb="FFF8D7CE"/>
        </x:patternFill>
      </x:fill>
    </x:dxf>
    <x:dxf>
      <x:font>
        <x:b/>
        <x:color rgb="FF7A5A18"/>
      </x:font>
      <x:fill>
        <x:patternFill patternType="solid">
          <x:bgColor rgb="FFF7E7B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398dd9fa44517" /><Relationship Type="http://schemas.openxmlformats.org/officeDocument/2006/relationships/theme" Target="/xl/theme/theme1.xml" Id="R3c258ee68f0547b8" /><Relationship Type="http://schemas.openxmlformats.org/officeDocument/2006/relationships/sharedStrings" Target="/xl/sharedStrings.xml" Id="R0b5b746221844eb1" /><Relationship Type="http://schemas.openxmlformats.org/officeDocument/2006/relationships/worksheet" Target="/xl/worksheets/sheet1.xml" Id="Reb33ef9dc1b54bfe" /><Relationship Type="http://schemas.openxmlformats.org/officeDocument/2006/relationships/worksheet" Target="/xl/worksheets/sheet2.xml" Id="R147b4c6c7cdd4d07" /><Relationship Type="http://schemas.openxmlformats.org/officeDocument/2006/relationships/worksheet" Target="/xl/worksheets/sheet3.xml" Id="Ra0a3b2602bc94bc7" /><Relationship Type="http://schemas.openxmlformats.org/officeDocument/2006/relationships/worksheet" Target="/xl/worksheets/sheet4.xml" Id="R8c348d32b7b34f49" /><Relationship Type="http://schemas.openxmlformats.org/officeDocument/2006/relationships/worksheet" Target="/xl/worksheets/sheet5.xml" Id="Rb9975f210a5c49b5" /><Relationship Type="http://schemas.openxmlformats.org/officeDocument/2006/relationships/worksheet" Target="/xl/worksheets/sheet6.xml" Id="R7987f03f36784c7e" /><Relationship Type="http://schemas.openxmlformats.org/officeDocument/2006/relationships/worksheet" Target="/xl/worksheets/sheet7.xml" Id="Rde95d8b5aea84947" /><Relationship Type="http://schemas.microsoft.com/office/2017/10/relationships/person" Target="/xl/persons/person.xml" Id="Ra6776a2567374061" /></Relationships>
</file>

<file path=xl/persons/person.xml><?xml version="1.0" encoding="utf-8"?>
<xltc:personList xmlns:xltc="http://schemas.microsoft.com/office/spreadsheetml/2018/threadedcomments">
  <xltc:person displayName="User" id="{61A95C48-CD9D-47E5-9928-69C15B18CE8E}"/>
</xltc:personList>
</file>

<file path=xl/tables/table1.xml><?xml version="1.0" encoding="utf-8"?>
<x:table xmlns:x="http://schemas.openxmlformats.org/spreadsheetml/2006/main" id="1" name="LocationNodesTable" displayName="LocationNodesTable" ref="A1:T21" headerRowCount="1" totalsRowCount="0" totalsRowShown="0">
  <x:tableColumns count="20">
    <x:tableColumn id="1" name="节点ID"/>
    <x:tableColumn id="2" name="地点名称"/>
    <x:tableColumn id="3" name="地区"/>
    <x:tableColumn id="4" name="纬度"/>
    <x:tableColumn id="5" name="经度"/>
    <x:tableColumn id="6" name="坐标精度"/>
    <x:tableColumn id="7" name="节点类型代码"/>
    <x:tableColumn id="8" name="中文分类"/>
    <x:tableColumn id="9" name="关联节目/行动"/>
    <x:tableColumn id="10" name="农业主题"/>
    <x:tableColumn id="11" name="定性"/>
    <x:tableColumn id="12" name="代表人物"/>
    <x:tableColumn id="13" name="助农/公益意义"/>
    <x:tableColumn id="14" name="影响状态"/>
    <x:tableColumn id="15" name="核验状态"/>
    <x:tableColumn id="16" name="主要来源"/>
    <x:tableColumn id="17" name="来源URL"/>
    <x:tableColumn id="18" name="公开地址线索"/>
    <x:tableColumn id="19" name="重要说明"/>
    <x:tableColumn id="20" name="待办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eopleAccountsTable" displayName="PeopleAccountsTable" ref="A1:Q14" headerRowCount="1" totalsRowCount="0" totalsRowShown="0">
  <x:tableColumns count="17">
    <x:tableColumn id="1" name="人物ID"/>
    <x:tableColumn id="2" name="姓名"/>
    <x:tableColumn id="3" name="常用称呼"/>
    <x:tableColumn id="4" name="身份"/>
    <x:tableColumn id="5" name="关联地点"/>
    <x:tableColumn id="6" name="账号状态"/>
    <x:tableColumn id="7" name="微博"/>
    <x:tableColumn id="8" name="抖音"/>
    <x:tableColumn id="9" name="小红书"/>
    <x:tableColumn id="10" name="视频号"/>
    <x:tableColumn id="11" name="微信公众号"/>
    <x:tableColumn id="12" name="机构账号"/>
    <x:tableColumn id="13" name="B站"/>
    <x:tableColumn id="14" name="其他账号"/>
    <x:tableColumn id="15" name="核验依据"/>
    <x:tableColumn id="16" name="核验说明"/>
    <x:tableColumn id="17" name="待办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G16" headerRowCount="1" totalsRowCount="0" totalsRowShown="0">
  <x:tableColumns count="7">
    <x:tableColumn id="1" name="来源ID"/>
    <x:tableColumn id="2" name="来源标题/机构"/>
    <x:tableColumn id="3" name="来源URL"/>
    <x:tableColumn id="4" name="关联章节/节点"/>
    <x:tableColumn id="5" name="来源级别"/>
    <x:tableColumn id="6" name="访问日期"/>
    <x:tableColumn id="7" name="备注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asksTable" displayName="TasksTable" ref="A1:F11" headerRowCount="1" totalsRowCount="0" totalsRowShown="0">
  <x:tableColumns count="6">
    <x:tableColumn id="1" name="待办ID"/>
    <x:tableColumn id="2" name="优先级"/>
    <x:tableColumn id="3" name="内容"/>
    <x:tableColumn id="4" name="原因"/>
    <x:tableColumn id="5" name="完成标准"/>
    <x:tableColumn id="6" name="状态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D23" headerRowCount="1" totalsRowCount="0" totalsRowShown="0">
  <x:tableColumns count="4">
    <x:tableColumn id="1" name="字段组"/>
    <x:tableColumn id="2" name="代码"/>
    <x:tableColumn id="3" name="中文含义"/>
    <x:tableColumn id="4" name="使用规则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ChangeLogTable" displayName="ChangeLogTable" ref="A1:D2" headerRowCount="1" totalsRowCount="0" totalsRowShown="0">
  <x:tableColumns count="4">
    <x:tableColumn id="1" name="版本"/>
    <x:tableColumn id="2" name="日期"/>
    <x:tableColumn id="3" name="变更内容"/>
    <x:tableColumn id="4" name="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21T08:48:09.146" personId="{61A95C48-CD9D-47E5-9928-69C15B18CE8E}" id="{06B7B175-CFBB-667F-760C-A8543613476D}">
    <xltc:text>地点节点来自 reference/种地吧助农地图资料库.md。节点 ID 为永久 ID，不因名称变化而重新分配。</xltc:text>
  </xltc:threadedComment>
  <xltc:threadedComment ref="D1" dT="2026-08-21T08:48:09.147" personId="{61A95C48-CD9D-47E5-9928-69C15B18CE8E}" id="{886DF0BB-C565-7C0A-EB37-A1B1D727A098}">
    <xltc:text>纬度、经度使用 WGS-84 十进制度数；坐标格式为纬度，经度。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ad06c3517ed414f" /><Relationship Type="http://schemas.openxmlformats.org/officeDocument/2006/relationships/vmlDrawing" Target="/xl/drawings/vmldrawing.vml" Id="R3e1f77bbf25941ab" /><Relationship Type="http://schemas.microsoft.com/office/2017/10/relationships/threadedComment" Target="/xl/threadedcomments/threadedcomment.xml" Id="R4c1be7c1f45a4170" /><Relationship Type="http://schemas.openxmlformats.org/officeDocument/2006/relationships/table" Target="/xl/tables/table1.xml" Id="R0dc3253d831840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f12ca8ccef4a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1eda0a56f943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3f5f01eeab4d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8eb2a6f73245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c66a7134b44f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9.75" hidden="0" customWidth="1"/>
    <x:col min="3" max="3" width="9.75" hidden="0" customWidth="1"/>
    <x:col min="4" max="4" width="9.75" hidden="0" customWidth="1"/>
    <x:col min="5" max="5" width="9.75" hidden="0" customWidth="1"/>
    <x:col min="6" max="6" width="9.75" hidden="0" customWidth="1"/>
    <x:col min="7" max="7" width="9.75" hidden="0" customWidth="1"/>
    <x:col min="8" max="8" width="9.75" hidden="0" customWidth="1"/>
    <x:col min="9" max="9" width="9.75" hidden="0" customWidth="1"/>
    <x:col min="10" max="10" width="9.75" hidden="0" customWidth="1"/>
  </x:cols>
  <x:sheetData>
    <x:row r="1">
      <x:c r="A1" s="4" t="str">
        <x:v>《种地吧》助农地图资料库</x:v>
      </x:c>
      <x:c r="B1" s="4" t="str">
        <x:v>《种地吧》助农地图资料库</x:v>
      </x:c>
      <x:c r="C1" s="4" t="str">
        <x:v>《种地吧》助农地图资料库</x:v>
      </x:c>
      <x:c r="D1" s="4" t="str">
        <x:v>《种地吧》助农地图资料库</x:v>
      </x:c>
      <x:c r="E1" s="4" t="str">
        <x:v>《种地吧》助农地图资料库</x:v>
      </x:c>
      <x:c r="F1" s="4" t="str">
        <x:v>《种地吧》助农地图资料库</x:v>
      </x:c>
      <x:c r="G1" s="4" t="str">
        <x:v>《种地吧》助农地图资料库</x:v>
      </x:c>
      <x:c r="H1" s="4" t="str">
        <x:v>《种地吧》助农地图资料库</x:v>
      </x:c>
      <x:c r="I1" s="4" t="str">
        <x:v>《种地吧》助农地图资料库</x:v>
      </x:c>
      <x:c r="J1" s="4" t="str">
        <x:v>《种地吧》助农地图资料库</x:v>
      </x:c>
    </x:row>
    <x:row r="2">
      <x:c r="A2" s="4" t="str">
        <x:v>《种地吧》助农地图资料库</x:v>
      </x:c>
      <x:c r="B2" s="4" t="str">
        <x:v>《种地吧》助农地图资料库</x:v>
      </x:c>
      <x:c r="C2" s="4" t="str">
        <x:v>《种地吧》助农地图资料库</x:v>
      </x:c>
      <x:c r="D2" s="4" t="str">
        <x:v>《种地吧》助农地图资料库</x:v>
      </x:c>
      <x:c r="E2" s="4" t="str">
        <x:v>《种地吧》助农地图资料库</x:v>
      </x:c>
      <x:c r="F2" s="4" t="str">
        <x:v>《种地吧》助农地图资料库</x:v>
      </x:c>
      <x:c r="G2" s="4" t="str">
        <x:v>《种地吧》助农地图资料库</x:v>
      </x:c>
      <x:c r="H2" s="4" t="str">
        <x:v>《种地吧》助农地图资料库</x:v>
      </x:c>
      <x:c r="I2" s="4" t="str">
        <x:v>《种地吧》助农地图资料库</x:v>
      </x:c>
      <x:c r="J2" s="4" t="str">
        <x:v>《种地吧》助农地图资料库</x:v>
      </x:c>
    </x:row>
    <x:row r="3">
      <x:c r="A3" s="7" t="str">
        <x:v>v0.1 · WGS-84 · 坐标格式：纬度，经度 · 最近更新：2026-07-30</x:v>
      </x:c>
      <x:c r="B3" s="7" t="str">
        <x:v>v0.1 · WGS-84 · 坐标格式：纬度，经度 · 最近更新：2026-07-30</x:v>
      </x:c>
      <x:c r="C3" s="7" t="str">
        <x:v>v0.1 · WGS-84 · 坐标格式：纬度，经度 · 最近更新：2026-07-30</x:v>
      </x:c>
      <x:c r="D3" s="7" t="str">
        <x:v>v0.1 · WGS-84 · 坐标格式：纬度，经度 · 最近更新：2026-07-30</x:v>
      </x:c>
      <x:c r="E3" s="7" t="str">
        <x:v>v0.1 · WGS-84 · 坐标格式：纬度，经度 · 最近更新：2026-07-30</x:v>
      </x:c>
      <x:c r="F3" s="7" t="str">
        <x:v>v0.1 · WGS-84 · 坐标格式：纬度，经度 · 最近更新：2026-07-30</x:v>
      </x:c>
      <x:c r="G3" s="7" t="str">
        <x:v>v0.1 · WGS-84 · 坐标格式：纬度，经度 · 最近更新：2026-07-30</x:v>
      </x:c>
      <x:c r="H3" s="7" t="str">
        <x:v>v0.1 · WGS-84 · 坐标格式：纬度，经度 · 最近更新：2026-07-30</x:v>
      </x:c>
      <x:c r="I3" s="7" t="str">
        <x:v>v0.1 · WGS-84 · 坐标格式：纬度，经度 · 最近更新：2026-07-30</x:v>
      </x:c>
      <x:c r="J3" s="7" t="str">
        <x:v>v0.1 · WGS-84 · 坐标格式：纬度，经度 · 最近更新：2026-07-30</x:v>
      </x:c>
    </x:row>
    <x:row r="5">
      <x:c r="A5" s="11" t="str">
        <x:v>收录地点</x:v>
      </x:c>
      <x:c r="B5" s="11" t="str">
        <x:v>收录地点</x:v>
      </x:c>
      <x:c r="C5" s="11" t="str">
        <x:v>核心行动节点</x:v>
      </x:c>
      <x:c r="D5" s="11" t="str">
        <x:v>核心行动节点</x:v>
      </x:c>
      <x:c r="E5" s="11" t="str">
        <x:v>直接助农</x:v>
      </x:c>
      <x:c r="F5" s="11" t="str">
        <x:v>直接助农</x:v>
      </x:c>
      <x:c r="G5" s="11" t="str">
        <x:v>公众行动</x:v>
      </x:c>
      <x:c r="H5" s="11" t="str">
        <x:v>公众行动</x:v>
      </x:c>
      <x:c r="I5" s="11" t="str">
        <x:v>农业游学</x:v>
      </x:c>
      <x:c r="J5" s="11" t="str">
        <x:v>农业游学</x:v>
      </x:c>
    </x:row>
    <x:row r="6">
      <x:c r="A6" s="26" t="n">
        <x:f>COUNTA('地点节点'!$A$2:$A$201)</x:f>
        <x:v>20</x:v>
      </x:c>
      <x:c r="B6" s="27"/>
      <x:c r="C6" s="26" t="n">
        <x:f>COUNTA('地点节点'!$G$2:$G$201)-COUNTIF('地点节点'!$G$2:$G$201,"agri_learning")</x:f>
        <x:v>11</x:v>
      </x:c>
      <x:c r="D6" s="27"/>
      <x:c r="E6" s="26" t="n">
        <x:f>COUNTIF('地点节点'!$G$2:$G$201,"direct_support")</x:f>
        <x:v>8</x:v>
      </x:c>
      <x:c r="F6" s="27"/>
      <x:c r="G6" s="26" t="n">
        <x:f>COUNTIF('地点节点'!$G$2:$G$201,"public_action")</x:f>
        <x:v>2</x:v>
      </x:c>
      <x:c r="H6" s="27"/>
      <x:c r="I6" s="26" t="n">
        <x:f>COUNTIF('地点节点'!$G$2:$G$201,"agri_learning")</x:f>
        <x:v>9</x:v>
      </x:c>
      <x:c r="J6" s="27"/>
    </x:row>
    <x:row r="7">
      <x:c r="A7" s="28"/>
      <x:c r="B7" s="29"/>
      <x:c r="C7" s="28"/>
      <x:c r="D7" s="29"/>
      <x:c r="E7" s="28"/>
      <x:c r="F7" s="29"/>
      <x:c r="G7" s="28"/>
      <x:c r="H7" s="29"/>
      <x:c r="I7" s="28"/>
      <x:c r="J7" s="29"/>
    </x:row>
    <x:row r="9">
      <x:c r="A9" s="31" t="str">
        <x:v>维护原则</x:v>
      </x:c>
      <x:c r="B9" s="31" t="str">
        <x:v>维护原则</x:v>
      </x:c>
      <x:c r="C9" s="31" t="str">
        <x:v>维护原则</x:v>
      </x:c>
      <x:c r="D9" s="31" t="str">
        <x:v>维护原则</x:v>
      </x:c>
      <x:c r="E9" s="31" t="str">
        <x:v>维护原则</x:v>
      </x:c>
      <x:c r="F9" s="31" t="str">
        <x:v>维护原则</x:v>
      </x:c>
      <x:c r="G9" s="31" t="str">
        <x:v>维护原则</x:v>
      </x:c>
      <x:c r="H9" s="31" t="str">
        <x:v>维护原则</x:v>
      </x:c>
      <x:c r="I9" s="31" t="str">
        <x:v>维护原则</x:v>
      </x:c>
      <x:c r="J9" s="31" t="str">
        <x:v>维护原则</x:v>
      </x:c>
    </x:row>
    <x:row r="10" ht="21" customHeight="1">
      <x:c r="A10" s="50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B10" s="51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C10" s="51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D10" s="51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E10" s="51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F10" s="51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G10" s="51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H10" s="51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I10" s="51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J10" s="52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</x:row>
    <x:row r="11" ht="21" customHeight="1">
      <x:c r="A11" s="53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B11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C11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D11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E11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F11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G11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H11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I11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J11" s="55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</x:row>
    <x:row r="12" ht="21" customHeight="1">
      <x:c r="A12" s="53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B12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C12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D12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E12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F12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G12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H12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I12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J12" s="55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</x:row>
    <x:row r="13" ht="21" customHeight="1">
      <x:c r="A13" s="53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B13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C13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D13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E13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F13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G13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H13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I13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J13" s="55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</x:row>
    <x:row r="14" ht="21" customHeight="1">
      <x:c r="A14" s="53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B14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C14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D14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E14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F14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G14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H14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I14" s="54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J14" s="55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</x:row>
    <x:row r="15" ht="21" customHeight="1">
      <x:c r="A15" s="56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B15" s="57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C15" s="57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D15" s="57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E15" s="57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F15" s="57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G15" s="57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H15" s="57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I15" s="57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  <x:c r="J15" s="58" t="str">
        <x:v>1. 仅有旅游打卡或普通录制、没有明确农业或公益意义的地点不收录。
2. 节目到访、产品曝光和已经帮助当地增收是三个不同结论，不得混写。
3. 没有可靠公开坐标时可暂用乡镇或县城中心点，但必须注明坐标精度。
4. 人物账号只有在节目、所属机构或可靠报道能够直接对应时才标记为已核实。
5. 每次更新先修正来源，再修改事实陈述；坐标细化时同步更新坐标精度。</x:v>
      </x:c>
    </x:row>
    <x:row r="17">
      <x:c r="A17" s="6" t="str">
        <x:v>源文件：reference/种地吧助农地图资料库.md</x:v>
      </x:c>
      <x:c r="B17" s="6" t="str">
        <x:v>源文件：reference/种地吧助农地图资料库.md</x:v>
      </x:c>
      <x:c r="C17" s="6" t="str">
        <x:v>源文件：reference/种地吧助农地图资料库.md</x:v>
      </x:c>
      <x:c r="D17" s="6" t="str">
        <x:v>源文件：reference/种地吧助农地图资料库.md</x:v>
      </x:c>
      <x:c r="E17" s="6" t="str">
        <x:v>源文件：reference/种地吧助农地图资料库.md</x:v>
      </x:c>
      <x:c r="F17" s="6" t="str">
        <x:v>源文件：reference/种地吧助农地图资料库.md</x:v>
      </x:c>
      <x:c r="G17" s="6" t="str">
        <x:v>源文件：reference/种地吧助农地图资料库.md</x:v>
      </x:c>
      <x:c r="H17" s="6" t="str">
        <x:v>源文件：reference/种地吧助农地图资料库.md</x:v>
      </x:c>
      <x:c r="I17" s="6" t="str">
        <x:v>源文件：reference/种地吧助农地图资料库.md</x:v>
      </x:c>
      <x:c r="J17" s="6" t="str">
        <x:v>源文件：reference/种地吧助农地图资料库.md</x:v>
      </x:c>
    </x:row>
  </x:sheetData>
  <x:mergeCells>
    <x:mergeCell ref="A1:J2"/>
    <x:mergeCell ref="A3:J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A9:J9"/>
    <x:mergeCell ref="A10:J15"/>
    <x:mergeCell ref="A17:J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2.5" hidden="0" customWidth="1"/>
    <x:col min="3" max="3" width="22.5" hidden="0" customWidth="1"/>
    <x:col min="4" max="4" width="10" hidden="0" customWidth="1"/>
    <x:col min="5" max="5" width="10" hidden="0" customWidth="1"/>
    <x:col min="6" max="6" width="11.25" hidden="0" customWidth="1"/>
    <x:col min="7" max="7" width="15" hidden="0" customWidth="1"/>
    <x:col min="8" max="8" width="11.880000114440918" hidden="0" customWidth="1"/>
    <x:col min="9" max="9" width="22.5" hidden="0" customWidth="1"/>
    <x:col min="10" max="10" width="17.5" hidden="0" customWidth="1"/>
    <x:col min="11" max="11" width="16.25" hidden="0" customWidth="1"/>
    <x:col min="12" max="12" width="18.75" hidden="0" customWidth="1"/>
    <x:col min="13" max="13" width="37.5" hidden="0" customWidth="1"/>
    <x:col min="14" max="14" width="11.25" hidden="0" customWidth="1"/>
    <x:col min="15" max="15" width="12.5" hidden="0" customWidth="1"/>
    <x:col min="16" max="16" width="22.5" hidden="0" customWidth="1"/>
    <x:col min="17" max="17" width="32.5" hidden="0" customWidth="1"/>
    <x:col min="18" max="18" width="22.5" hidden="0" customWidth="1"/>
    <x:col min="19" max="19" width="32.5" hidden="0" customWidth="1"/>
    <x:col min="20" max="20" width="35" hidden="0" customWidth="1"/>
  </x:cols>
  <x:sheetData>
    <x:row r="1">
      <x:c r="A1" s="78" t="str">
        <x:v>节点ID</x:v>
      </x:c>
      <x:c r="B1" s="79" t="str">
        <x:v>地点名称</x:v>
      </x:c>
      <x:c r="C1" s="79" t="str">
        <x:v>地区</x:v>
      </x:c>
      <x:c r="D1" s="79" t="str">
        <x:v>纬度</x:v>
      </x:c>
      <x:c r="E1" s="79" t="str">
        <x:v>经度</x:v>
      </x:c>
      <x:c r="F1" s="79" t="str">
        <x:v>坐标精度</x:v>
      </x:c>
      <x:c r="G1" s="79" t="str">
        <x:v>节点类型代码</x:v>
      </x:c>
      <x:c r="H1" s="79" t="str">
        <x:v>中文分类</x:v>
      </x:c>
      <x:c r="I1" s="79" t="str">
        <x:v>关联节目/行动</x:v>
      </x:c>
      <x:c r="J1" s="79" t="str">
        <x:v>农业主题</x:v>
      </x:c>
      <x:c r="K1" s="79" t="str">
        <x:v>定性</x:v>
      </x:c>
      <x:c r="L1" s="79" t="str">
        <x:v>代表人物</x:v>
      </x:c>
      <x:c r="M1" s="79" t="str">
        <x:v>助农/公益意义</x:v>
      </x:c>
      <x:c r="N1" s="79" t="str">
        <x:v>影响状态</x:v>
      </x:c>
      <x:c r="O1" s="79" t="str">
        <x:v>核验状态</x:v>
      </x:c>
      <x:c r="P1" s="79" t="str">
        <x:v>主要来源</x:v>
      </x:c>
      <x:c r="Q1" s="79" t="str">
        <x:v>来源URL</x:v>
      </x:c>
      <x:c r="R1" s="79" t="str">
        <x:v>公开地址线索</x:v>
      </x:c>
      <x:c r="S1" s="79" t="str">
        <x:v>重要说明</x:v>
      </x:c>
      <x:c r="T1" s="79" t="str">
        <x:v>待办</x:v>
      </x:c>
    </x:row>
    <x:row r="2" ht="43.5" customHeight="1">
      <x:c r="A2" s="84" t="str">
        <x:v>ZDB-L001</x:v>
      </x:c>
      <x:c r="B2" s="85" t="str">
        <x:v>甘肃民勤治沙行动</x:v>
      </x:c>
      <x:c r="C2" s="85" t="str">
        <x:v>甘肃省武威市民勤县</x:v>
      </x:c>
      <x:c r="D2" s="86" t="n">
        <x:v>38.6248</x:v>
      </x:c>
      <x:c r="E2" s="86" t="n">
        <x:v>103.0937</x:v>
      </x:c>
      <x:c r="F2" s="85" t="str">
        <x:v>county</x:v>
      </x:c>
      <x:c r="G2" s="85" t="str">
        <x:v>public_action</x:v>
      </x:c>
      <x:c r="H2" s="85" t="str">
        <x:f>XLOOKUP(G2,'字段字典'!$B$2:$B$23,'字段字典'!$C$2:$C$23,"")</x:f>
        <x:v>公众行动</x:v>
      </x:c>
      <x:c r="I2" s="85" t="str">
        <x:v>《种地吧2》及节目后续公益行动</x:v>
      </x:c>
      <x:c r="J2" s="85" t="str"/>
      <x:c r="K2" s="85" t="str"/>
      <x:c r="L2" s="85" t="str">
        <x:v>仲麟</x:v>
      </x:c>
      <x:c r="M2" s="85" t="str">
        <x:v>十个勤天与当地团队栽植约18万穴梭梭；节目播出后，大量志愿者持续前往民勤，逐步形成治沙、志愿服务与当地农产品销售相结合的行动链条。</x:v>
      </x:c>
      <x:c r="N2" s="85" t="str">
        <x:v>continuing</x:v>
      </x:c>
      <x:c r="O2" s="85" t="str">
        <x:v>verified</x:v>
      </x:c>
      <x:c r="P2" s="85" t="str">
        <x:v>环球人物</x:v>
      </x:c>
      <x:c r="Q2" s="85" t="str">
        <x:v>https://www.globalpeople.com.cn/n4/2026/0504/c305917-21647511.html</x:v>
      </x:c>
      <x:c r="R2" s="85" t="str"/>
      <x:c r="S2" s="85" t="str"/>
      <x:c r="T2" s="85" t="str">
        <x:v>补充节目具体期数、行动日期、植树地块精确边界或可公开的基地坐标。</x:v>
      </x:c>
    </x:row>
    <x:row r="3" ht="43.5" customHeight="1">
      <x:c r="A3" s="84" t="str">
        <x:v>ZDB-L002</x:v>
      </x:c>
      <x:c r="B3" s="85" t="str">
        <x:v>民勤昌宁镇四方墩生态林基地</x:v>
      </x:c>
      <x:c r="C3" s="85" t="str">
        <x:v>甘肃省武威市民勤县昌宁镇</x:v>
      </x:c>
      <x:c r="D3" s="86" t="n">
        <x:v>38.62015</x:v>
      </x:c>
      <x:c r="E3" s="86" t="n">
        <x:v>102.50274</x:v>
      </x:c>
      <x:c r="F3" s="85" t="str">
        <x:v>township</x:v>
      </x:c>
      <x:c r="G3" s="85" t="str">
        <x:v>public_action</x:v>
      </x:c>
      <x:c r="H3" s="85" t="str">
        <x:f>XLOOKUP(G3,'字段字典'!$B$2:$B$23,'字段字典'!$C$2:$C$23,"")</x:f>
        <x:v>公众行动</x:v>
      </x:c>
      <x:c r="I3" s="85" t="str">
        <x:v>民勤治沙衍生公益节点</x:v>
      </x:c>
      <x:c r="J3" s="85" t="str"/>
      <x:c r="K3" s="85" t="str"/>
      <x:c r="L3" s="85" t="str">
        <x:v>马俊河（“马哥”）</x:v>
      </x:c>
      <x:c r="M3" s="85" t="str">
        <x:v>甘肃青梭公益长期组织志愿者压沙、种植梭梭，并通过蜜瓜等农产品销售反哺治沙行动。</x:v>
      </x:c>
      <x:c r="N3" s="85" t="str">
        <x:v>continuing</x:v>
      </x:c>
      <x:c r="O3" s="85" t="str">
        <x:v>partially_verified</x:v>
      </x:c>
      <x:c r="P3" s="85" t="str">
        <x:v>青梭公益官网</x:v>
      </x:c>
      <x:c r="Q3" s="85" t="str">
        <x:v>https://www.qingsuo.cn/</x:v>
      </x:c>
      <x:c r="R3" s="85" t="str"/>
      <x:c r="S3" s="85" t="str">
        <x:v>该节点与仲麟的治沙行动处于同一民勤治沙体系，但属于不同公益基地或行动网络，人物标签不得合并。</x:v>
      </x:c>
      <x:c r="T3" s="85" t="str">
        <x:v>以机构公开地址、地图地点链接或现场资料进一步核准基地精确点。</x:v>
      </x:c>
    </x:row>
    <x:row r="4" ht="43.5" customHeight="1">
      <x:c r="A4" s="84" t="str">
        <x:v>ZDB-L003</x:v>
      </x:c>
      <x:c r="B4" s="85" t="str">
        <x:v>玉树州藏医药职业学校</x:v>
      </x:c>
      <x:c r="C4" s="85" t="str">
        <x:v>青海省玉树藏族自治州囊谦县</x:v>
      </x:c>
      <x:c r="D4" s="86" t="n">
        <x:v>32.2</x:v>
      </x:c>
      <x:c r="E4" s="86" t="n">
        <x:v>96.48</x:v>
      </x:c>
      <x:c r="F4" s="85" t="str">
        <x:v>county</x:v>
      </x:c>
      <x:c r="G4" s="85" t="str">
        <x:v>direct_support</x:v>
      </x:c>
      <x:c r="H4" s="85" t="str">
        <x:f>XLOOKUP(G4,'字段字典'!$B$2:$B$23,'字段字典'!$C$2:$C$23,"")</x:f>
        <x:v>直接助农</x:v>
      </x:c>
      <x:c r="I4" s="85" t="str">
        <x:v>《种地吧3》《种地吧4》</x:v>
      </x:c>
      <x:c r="J4" s="85" t="str"/>
      <x:c r="K4" s="85" t="str"/>
      <x:c r="L4" s="85" t="str">
        <x:v>更确木兰（“木兰校长”）</x:v>
      </x:c>
      <x:c r="M4" s="85" t="str">
        <x:v>更确木兰以芫根饮料加工收入补贴公益学校；节目相关芫根直播销售额超过190万元，后续推动加工厂复产、产品研发和地方产业链建设。</x:v>
      </x:c>
      <x:c r="N4" s="85" t="str">
        <x:v>continuing</x:v>
      </x:c>
      <x:c r="O4" s="85" t="str">
        <x:v>verified</x:v>
      </x:c>
      <x:c r="P4" s="85" t="str">
        <x:v>中新网青海</x:v>
      </x:c>
      <x:c r="Q4" s="85" t="str">
        <x:v>https://www.qh.chinanews.com.cn/sh/news/2025/0321/133704.html</x:v>
      </x:c>
      <x:c r="R4" s="85" t="str">
        <x:v>囊谦县 G214 沿线</x:v>
      </x:c>
      <x:c r="S4" s="85" t="str"/>
      <x:c r="T4" s="85" t="str">
        <x:v>核验学校正式名称的历次变化、精确门址与经纬度；补充芫根项目的持续经营数据。</x:v>
      </x:c>
    </x:row>
    <x:row r="5" ht="43.5" customHeight="1">
      <x:c r="A5" s="84" t="str">
        <x:v>ZDB-L004</x:v>
      </x:c>
      <x:c r="B5" s="85" t="str">
        <x:v>囊谦白扎盐场</x:v>
      </x:c>
      <x:c r="C5" s="85" t="str">
        <x:v>青海省玉树藏族自治州囊谦县白扎乡</x:v>
      </x:c>
      <x:c r="D5" s="86" t="n">
        <x:v>32.07551</x:v>
      </x:c>
      <x:c r="E5" s="86" t="n">
        <x:v>96.51612</x:v>
      </x:c>
      <x:c r="F5" s="85" t="str">
        <x:v>township</x:v>
      </x:c>
      <x:c r="G5" s="85" t="str">
        <x:v>direct_support</x:v>
      </x:c>
      <x:c r="H5" s="85" t="str">
        <x:f>XLOOKUP(G5,'字段字典'!$B$2:$B$23,'字段字典'!$C$2:$C$23,"")</x:f>
        <x:v>直接助农</x:v>
      </x:c>
      <x:c r="I5" s="85" t="str">
        <x:v>《种地吧3》《种地吧4》</x:v>
      </x:c>
      <x:c r="J5" s="85" t="str"/>
      <x:c r="K5" s="85" t="str"/>
      <x:c r="L5" s="85" t="str">
        <x:v>江羊巴桑</x:v>
      </x:c>
      <x:c r="M5" s="85" t="str">
        <x:v>推广藏红盐、白盐及传统泉盐技艺；后续产量和农户收入提升，并带动周边盐场与文旅产业。</x:v>
      </x:c>
      <x:c r="N5" s="85" t="str">
        <x:v>continuing</x:v>
      </x:c>
      <x:c r="O5" s="85" t="str">
        <x:v>partially_verified</x:v>
      </x:c>
      <x:c r="P5" s="85" t="str">
        <x:v>中国农业大学转载报道</x:v>
      </x:c>
      <x:c r="Q5" s="85" t="str">
        <x:v>https://news.cau.edu.cn/mtndnew/294c5976e377445787bf1e30a9bcd010.htm</x:v>
      </x:c>
      <x:c r="R5" s="85" t="str"/>
      <x:c r="S5" s="85" t="str">
        <x:v>当前坐标是白扎乡中心锚点，不是盐田精确边界。</x:v>
      </x:c>
      <x:c r="T5" s="85" t="str">
        <x:v>补充盐场正式名称、精确坐标、产量与收入变化的原始来源。</x:v>
      </x:c>
    </x:row>
    <x:row r="6" ht="43.5" customHeight="1">
      <x:c r="A6" s="84" t="str">
        <x:v>ZDB-L005</x:v>
      </x:c>
      <x:c r="B6" s="85" t="str">
        <x:v>囊谦娘拉乡娘麦村温室大棚</x:v>
      </x:c>
      <x:c r="C6" s="85" t="str">
        <x:v>青海省玉树藏族自治州囊谦县娘拉乡娘麦村</x:v>
      </x:c>
      <x:c r="D6" s="86" t="n">
        <x:v>32.04123</x:v>
      </x:c>
      <x:c r="E6" s="86" t="n">
        <x:v>96.84253</x:v>
      </x:c>
      <x:c r="F6" s="85" t="str">
        <x:v>township</x:v>
      </x:c>
      <x:c r="G6" s="85" t="str">
        <x:v>direct_support</x:v>
      </x:c>
      <x:c r="H6" s="85" t="str">
        <x:f>XLOOKUP(G6,'字段字典'!$B$2:$B$23,'字段字典'!$C$2:$C$23,"")</x:f>
        <x:v>直接助农</x:v>
      </x:c>
      <x:c r="I6" s="85" t="str">
        <x:v>《种地吧3》《种地吧4》</x:v>
      </x:c>
      <x:c r="J6" s="85" t="str"/>
      <x:c r="K6" s="85" t="str"/>
      <x:c r="L6" s="85" t="str">
        <x:v>成林、巴金</x:v>
      </x:c>
      <x:c r="M6" s="85" t="str">
        <x:v>节目协助解决大棚用水、用电及水培技术问题；成林后来担任当地水培技术指导，带动村民种植，并向学校、食堂和居民供应蔬菜。</x:v>
      </x:c>
      <x:c r="N6" s="85" t="str">
        <x:v>continuing</x:v>
      </x:c>
      <x:c r="O6" s="85" t="str">
        <x:v>verified</x:v>
      </x:c>
      <x:c r="P6" s="85" t="str">
        <x:v>中国青年报</x:v>
      </x:c>
      <x:c r="Q6" s="85" t="str">
        <x:v>https://m.cyol.com/gb/articles/2025-08/23/content_PbeKQaux0B.html</x:v>
      </x:c>
      <x:c r="R6" s="85" t="str"/>
      <x:c r="S6" s="85" t="str"/>
      <x:c r="T6" s="85" t="str">
        <x:v>核准娘麦村及大棚精确坐标；补充大棚数量、产量、参与农户和供应范围。</x:v>
      </x:c>
    </x:row>
    <x:row r="7" ht="43.5" customHeight="1">
      <x:c r="A7" s="84" t="str">
        <x:v>ZDB-L006</x:v>
      </x:c>
      <x:c r="B7" s="85" t="str">
        <x:v>黑龙江林口县建堂镇东兴村</x:v>
      </x:c>
      <x:c r="C7" s="85" t="str">
        <x:v>黑龙江省牡丹江市林口县建堂镇东兴村</x:v>
      </x:c>
      <x:c r="D7" s="86" t="n">
        <x:v>45.68014</x:v>
      </x:c>
      <x:c r="E7" s="86" t="n">
        <x:v>130.04726</x:v>
      </x:c>
      <x:c r="F7" s="85" t="str">
        <x:v>township</x:v>
      </x:c>
      <x:c r="G7" s="85" t="str">
        <x:v>direct_support</x:v>
      </x:c>
      <x:c r="H7" s="85" t="str">
        <x:f>XLOOKUP(G7,'字段字典'!$B$2:$B$23,'字段字典'!$C$2:$C$23,"")</x:f>
        <x:v>直接助农</x:v>
      </x:c>
      <x:c r="I7" s="85" t="str">
        <x:v>《种地吧3》</x:v>
      </x:c>
      <x:c r="J7" s="85" t="str"/>
      <x:c r="K7" s="85" t="str"/>
      <x:c r="L7" s="85" t="str">
        <x:v>高克新（“高叔”）、张婶</x:v>
      </x:c>
      <x:c r="M7" s="85" t="str">
        <x:v>将当地沙棘开发为沙棘皂，通过技术培训和“乡村合伙人”计划，为村民提供冬季加工就业与产品销售收入。</x:v>
      </x:c>
      <x:c r="N7" s="85" t="str">
        <x:v>continuing</x:v>
      </x:c>
      <x:c r="O7" s="85" t="str">
        <x:v>verified</x:v>
      </x:c>
      <x:c r="P7" s="85" t="str">
        <x:v>相关公开报道</x:v>
      </x:c>
      <x:c r="Q7" s="85" t="str">
        <x:v>https://www.sohu.com/a/897694912_121106822</x:v>
      </x:c>
      <x:c r="R7" s="85" t="str"/>
      <x:c r="S7" s="85" t="str"/>
      <x:c r="T7" s="85" t="str">
        <x:v>用原始发布机构页面替换转载链接；核准东兴村及加工点坐标；补充合伙人数、销量和收入数据。</x:v>
      </x:c>
    </x:row>
    <x:row r="8" ht="43.5" customHeight="1">
      <x:c r="A8" s="84" t="str">
        <x:v>ZDB-L007</x:v>
      </x:c>
      <x:c r="B8" s="85" t="str">
        <x:v>湖南宁乡流沙河镇草冲村</x:v>
      </x:c>
      <x:c r="C8" s="85" t="str">
        <x:v>湖南省长沙市宁乡市流沙河镇草冲村</x:v>
      </x:c>
      <x:c r="D8" s="86" t="n">
        <x:v>27.94</x:v>
      </x:c>
      <x:c r="E8" s="86" t="n">
        <x:v>112.1</x:v>
      </x:c>
      <x:c r="F8" s="85" t="str">
        <x:v>township</x:v>
      </x:c>
      <x:c r="G8" s="85" t="str">
        <x:v>direct_support</x:v>
      </x:c>
      <x:c r="H8" s="85" t="str">
        <x:f>XLOOKUP(G8,'字段字典'!$B$2:$B$23,'字段字典'!$C$2:$C$23,"")</x:f>
        <x:v>直接助农</x:v>
      </x:c>
      <x:c r="I8" s="85" t="str">
        <x:v>《种地吧3》</x:v>
      </x:c>
      <x:c r="J8" s="85" t="str"/>
      <x:c r="K8" s="85" t="str"/>
      <x:c r="L8" s="85" t="str">
        <x:v>贺桂香（“贺大姐”）</x:v>
      </x:c>
      <x:c r="M8" s="85" t="str">
        <x:v>节目帮助核算宁乡花猪养殖成本、寻找分割与销售渠道；贺桂香后续通过赠送猪苗、教授技术、保底回收等方式带动监测户共同养殖。</x:v>
      </x:c>
      <x:c r="N8" s="85" t="str">
        <x:v>continuing</x:v>
      </x:c>
      <x:c r="O8" s="85" t="str">
        <x:v>verified</x:v>
      </x:c>
      <x:c r="P8" s="85" t="str">
        <x:v>湖南日报／新湖南</x:v>
      </x:c>
      <x:c r="Q8" s="85" t="str">
        <x:v>https://www.hunantoday.cn/news/xhn/202605/32741255.html</x:v>
      </x:c>
      <x:c r="R8" s="85" t="str"/>
      <x:c r="S8" s="85" t="str"/>
      <x:c r="T8" s="85" t="str">
        <x:v>核准草冲村养殖场精确位置；补充带动农户数量、存栏量与回收情况。</x:v>
      </x:c>
    </x:row>
    <x:row r="9" ht="43.5" customHeight="1">
      <x:c r="A9" s="84" t="str">
        <x:v>ZDB-L008</x:v>
      </x:c>
      <x:c r="B9" s="85" t="str">
        <x:v>西藏墨脱茶叶与辣椒产业</x:v>
      </x:c>
      <x:c r="C9" s="85" t="str">
        <x:v>西藏自治区林芝市墨脱县</x:v>
      </x:c>
      <x:c r="D9" s="86" t="n">
        <x:v>29.32841</x:v>
      </x:c>
      <x:c r="E9" s="86" t="n">
        <x:v>95.33088</x:v>
      </x:c>
      <x:c r="F9" s="85" t="str">
        <x:v>county</x:v>
      </x:c>
      <x:c r="G9" s="85" t="str">
        <x:v>direct_support</x:v>
      </x:c>
      <x:c r="H9" s="85" t="str">
        <x:f>XLOOKUP(G9,'字段字典'!$B$2:$B$23,'字段字典'!$C$2:$C$23,"")</x:f>
        <x:v>直接助农</x:v>
      </x:c>
      <x:c r="I9" s="85" t="str">
        <x:v>《种地吧4》</x:v>
      </x:c>
      <x:c r="J9" s="85" t="str"/>
      <x:c r="K9" s="85" t="str"/>
      <x:c r="L9" s="85" t="str">
        <x:v>暂用“墨脱茶农群体”，不强行绑定单一人物</x:v>
      </x:c>
      <x:c r="M9" s="85" t="str">
        <x:v>推广墨脱高山茶、辣椒及林下产业；节目播出及直播为茶叶等产品带来订单增长。</x:v>
      </x:c>
      <x:c r="N9" s="85" t="str">
        <x:v>continuing</x:v>
      </x:c>
      <x:c r="O9" s="85" t="str">
        <x:v>partially_verified</x:v>
      </x:c>
      <x:c r="P9" s="85" t="str">
        <x:v>央视网</x:v>
      </x:c>
      <x:c r="Q9" s="85" t="str">
        <x:v>https://ghrp.cctv.com/2026/05/22/ARTIzhIxW0OUmBAMpeZM46y5260522.shtml</x:v>
      </x:c>
      <x:c r="R9" s="85" t="str"/>
      <x:c r="S9" s="85" t="str">
        <x:v>节目行为已有资料支持，但长期产业效果仍需观察。</x:v>
      </x:c>
      <x:c r="T9" s="85" t="str">
        <x:v>拆分茶叶、辣椒和林下产业为具体村级项目；核实代表人物、合作社、销量和持续复购数据。</x:v>
      </x:c>
    </x:row>
    <x:row r="10" ht="43.5" customHeight="1">
      <x:c r="A10" s="84" t="str">
        <x:v>ZDB-L009</x:v>
      </x:c>
      <x:c r="B10" s="85" t="str">
        <x:v>新疆于田沙漠玫瑰与锁边工程</x:v>
      </x:c>
      <x:c r="C10" s="85" t="str">
        <x:v>新疆维吾尔自治区和田地区于田县</x:v>
      </x:c>
      <x:c r="D10" s="86" t="n">
        <x:v>36.8573</x:v>
      </x:c>
      <x:c r="E10" s="86" t="n">
        <x:v>81.6771</x:v>
      </x:c>
      <x:c r="F10" s="85" t="str">
        <x:v>county</x:v>
      </x:c>
      <x:c r="G10" s="85" t="str">
        <x:v>direct_support</x:v>
      </x:c>
      <x:c r="H10" s="85" t="str">
        <x:f>XLOOKUP(G10,'字段字典'!$B$2:$B$23,'字段字典'!$C$2:$C$23,"")</x:f>
        <x:v>直接助农</x:v>
      </x:c>
      <x:c r="I10" s="85" t="str">
        <x:v>《种地吧4》</x:v>
      </x:c>
      <x:c r="J10" s="85" t="str"/>
      <x:c r="K10" s="85" t="str"/>
      <x:c r="L10" s="85" t="str">
        <x:v>买吐地、买哈扑司汗、加依村主任肉孜</x:v>
      </x:c>
      <x:c r="M10" s="85" t="str">
        <x:v>参与沙漠推平、阻沙带建设和玫瑰种植，并可延伸至玫瑰花馕及玫瑰加工品推广。</x:v>
      </x:c>
      <x:c r="N10" s="85" t="str">
        <x:v>continuing</x:v>
      </x:c>
      <x:c r="O10" s="85" t="str">
        <x:v>partially_verified</x:v>
      </x:c>
      <x:c r="P10" s="85" t="str">
        <x:v>央视网</x:v>
      </x:c>
      <x:c r="Q10" s="85" t="str">
        <x:v>https://ghrp.cctv.com/2026/05/22/ARTIzhIxW0OUmBAMpeZM46y5260522.shtml</x:v>
      </x:c>
      <x:c r="R10" s="85" t="str"/>
      <x:c r="S10" s="85" t="str"/>
      <x:c r="T10" s="85" t="str">
        <x:v>核准加依村行政归属、精确坐标、项目面积和代表人物全名；追踪加工品销售结果。</x:v>
      </x:c>
    </x:row>
    <x:row r="11" ht="43.5" customHeight="1">
      <x:c r="A11" s="84" t="str">
        <x:v>ZDB-L010</x:v>
      </x:c>
      <x:c r="B11" s="85" t="str">
        <x:v>新疆策勒阿日希村与红枣产业</x:v>
      </x:c>
      <x:c r="C11" s="85" t="str">
        <x:v>新疆维吾尔自治区和田地区策勒县</x:v>
      </x:c>
      <x:c r="D11" s="86" t="n">
        <x:v>37.002</x:v>
      </x:c>
      <x:c r="E11" s="86" t="n">
        <x:v>80.801</x:v>
      </x:c>
      <x:c r="F11" s="85" t="str">
        <x:v>county</x:v>
      </x:c>
      <x:c r="G11" s="85" t="str">
        <x:v>direct_support</x:v>
      </x:c>
      <x:c r="H11" s="85" t="str">
        <x:f>XLOOKUP(G11,'字段字典'!$B$2:$B$23,'字段字典'!$C$2:$C$23,"")</x:f>
        <x:v>直接助农</x:v>
      </x:c>
      <x:c r="I11" s="85" t="str">
        <x:v>《种地吧4》</x:v>
      </x:c>
      <x:c r="J11" s="85" t="str"/>
      <x:c r="K11" s="85" t="str"/>
      <x:c r="L11" s="85" t="str">
        <x:v>李鹏、当地枣农</x:v>
      </x:c>
      <x:c r="M11" s="85" t="str">
        <x:v>围绕积压红枣研发果丹皮、糕点等深加工产品；助农直播一小时售出约94吨，后续店铺累计售出超过200吨。</x:v>
      </x:c>
      <x:c r="N11" s="85" t="str">
        <x:v>continuing</x:v>
      </x:c>
      <x:c r="O11" s="85" t="str">
        <x:v>partially_verified</x:v>
      </x:c>
      <x:c r="P11" s="85" t="str">
        <x:v>中国农业大学转载报道</x:v>
      </x:c>
      <x:c r="Q11" s="85" t="str">
        <x:v>https://news.cau.edu.cn/mtndnew/294c5976e377445787bf1e30a9bcd010.htm</x:v>
      </x:c>
      <x:c r="R11" s="85" t="str"/>
      <x:c r="S11" s="85" t="str">
        <x:v>当前坐标为县级锚点，不能当作阿日希村精确点。</x:v>
      </x:c>
      <x:c r="T11" s="85" t="str">
        <x:v>核准“阿日希村”的完整行政区划和精确坐标；追踪退货、履约、实际消化库存量及后续销售。</x:v>
      </x:c>
    </x:row>
    <x:row r="12" ht="43.5" customHeight="1">
      <x:c r="A12" s="84" t="str">
        <x:v>ZDB-L011</x:v>
      </x:c>
      <x:c r="B12" s="85" t="str">
        <x:v>杭州三墩镇后陡门</x:v>
      </x:c>
      <x:c r="C12" s="85" t="str">
        <x:v>浙江省杭州市西湖区三墩镇</x:v>
      </x:c>
      <x:c r="D12" s="86" t="n">
        <x:v>30.323</x:v>
      </x:c>
      <x:c r="E12" s="86" t="n">
        <x:v>120.083</x:v>
      </x:c>
      <x:c r="F12" s="85" t="str">
        <x:v>township</x:v>
      </x:c>
      <x:c r="G12" s="85" t="str">
        <x:v>origin</x:v>
      </x:c>
      <x:c r="H12" s="85" t="str">
        <x:f>XLOOKUP(G12,'字段字典'!$B$2:$B$23,'字段字典'!$C$2:$C$23,"")</x:f>
        <x:v>行动发源地</x:v>
      </x:c>
      <x:c r="I12" s="85" t="str">
        <x:v>《种地吧1—4》</x:v>
      </x:c>
      <x:c r="J12" s="85" t="str"/>
      <x:c r="K12" s="85" t="str"/>
      <x:c r="L12" s="85" t="str">
        <x:v>十个勤天、小佳等</x:v>
      </x:c>
      <x:c r="M12" s="85" t="str">
        <x:v>节目农业实践、农产品研发、直播销售和“爱侬日”的行动起点。</x:v>
      </x:c>
      <x:c r="N12" s="85" t="str">
        <x:v>continuing</x:v>
      </x:c>
      <x:c r="O12" s="85" t="str">
        <x:v>verified</x:v>
      </x:c>
      <x:c r="P12" s="85" t="str"/>
      <x:c r="Q12" s="85" t="str"/>
      <x:c r="R12" s="85" t="str"/>
      <x:c r="S12" s="85" t="str">
        <x:v>后陡门不是外部贫困帮扶对象，不宜标成“受助地点”。</x:v>
      </x:c>
      <x:c r="T12" s="85" t="str">
        <x:v>补充后陡门各阶段使用范围、公开可访问性及与“爱侬日”的时间线。</x:v>
      </x:c>
    </x:row>
    <x:row r="13" ht="43.5" customHeight="1">
      <x:c r="A13" s="84" t="str">
        <x:v>ZDB-L101</x:v>
      </x:c>
      <x:c r="B13" s="85" t="str">
        <x:v>江苏盱眙</x:v>
      </x:c>
      <x:c r="C13" s="85" t="str">
        <x:v>江苏盱眙</x:v>
      </x:c>
      <x:c r="D13" s="86" t="n">
        <x:v>33.005</x:v>
      </x:c>
      <x:c r="E13" s="86" t="n">
        <x:v>118.544</x:v>
      </x:c>
      <x:c r="F13" s="85" t="str">
        <x:v>county</x:v>
      </x:c>
      <x:c r="G13" s="85" t="str">
        <x:v>agri_learning</x:v>
      </x:c>
      <x:c r="H13" s="85" t="str">
        <x:f>XLOOKUP(G13,'字段字典'!$B$2:$B$23,'字段字典'!$C$2:$C$23,"")</x:f>
        <x:v>农业游学</x:v>
      </x:c>
      <x:c r="I13" s="85" t="str">
        <x:v>《你好，种地少年》</x:v>
      </x:c>
      <x:c r="J13" s="85" t="str">
        <x:v>小龙虾产业、渔业养殖</x:v>
      </x:c>
      <x:c r="K13" s="85" t="str">
        <x:v>农业游学</x:v>
      </x:c>
      <x:c r="L13" s="85" t="str"/>
      <x:c r="M13" s="85" t="str">
        <x:v>小龙虾产业、渔业养殖；农业游学</x:v>
      </x:c>
      <x:c r="N13" s="85" t="str">
        <x:v>observational</x:v>
      </x:c>
      <x:c r="O13" s="85" t="str">
        <x:v>partially_verified</x:v>
      </x:c>
      <x:c r="P13" s="85" t="str">
        <x:v>《你好，种地少年》节目地点汇总</x:v>
      </x:c>
      <x:c r="Q13" s="85" t="str">
        <x:v>https://zh.wikipedia.org/zh-hans/%E4%BD%A0%E5%A5%BD%EF%BC%8C%E7%A7%8D%E5%9C%B0%E5%B0%91%E5%B9%B4</x:v>
      </x:c>
      <x:c r="R13" s="85" t="str"/>
      <x:c r="S13" s="85" t="str">
        <x:v>农业游学节点，不应与直接助农混同。</x:v>
      </x:c>
      <x:c r="T13" s="85" t="str">
        <x:v>补齐节目季、期数、播出日期，并将县市中心坐标细化到实际项目地。</x:v>
      </x:c>
    </x:row>
    <x:row r="14" ht="43.5" customHeight="1">
      <x:c r="A14" s="84" t="str">
        <x:v>ZDB-L102</x:v>
      </x:c>
      <x:c r="B14" s="85" t="str">
        <x:v>山东乳山</x:v>
      </x:c>
      <x:c r="C14" s="85" t="str">
        <x:v>山东乳山</x:v>
      </x:c>
      <x:c r="D14" s="86" t="n">
        <x:v>36.921</x:v>
      </x:c>
      <x:c r="E14" s="86" t="n">
        <x:v>121.54</x:v>
      </x:c>
      <x:c r="F14" s="85" t="str">
        <x:v>county</x:v>
      </x:c>
      <x:c r="G14" s="85" t="str">
        <x:v>agri_learning</x:v>
      </x:c>
      <x:c r="H14" s="85" t="str">
        <x:f>XLOOKUP(G14,'字段字典'!$B$2:$B$23,'字段字典'!$C$2:$C$23,"")</x:f>
        <x:v>农业游学</x:v>
      </x:c>
      <x:c r="I14" s="85" t="str">
        <x:v>《你好，种地少年》</x:v>
      </x:c>
      <x:c r="J14" s="85" t="str">
        <x:v>生蚝养殖、海洋渔业</x:v>
      </x:c>
      <x:c r="K14" s="85" t="str">
        <x:v>农业游学</x:v>
      </x:c>
      <x:c r="L14" s="85" t="str"/>
      <x:c r="M14" s="85" t="str">
        <x:v>生蚝养殖、海洋渔业；农业游学</x:v>
      </x:c>
      <x:c r="N14" s="85" t="str">
        <x:v>observational</x:v>
      </x:c>
      <x:c r="O14" s="85" t="str">
        <x:v>partially_verified</x:v>
      </x:c>
      <x:c r="P14" s="85" t="str">
        <x:v>《你好，种地少年》节目地点汇总</x:v>
      </x:c>
      <x:c r="Q14" s="85" t="str">
        <x:v>https://zh.wikipedia.org/zh-hans/%E4%BD%A0%E5%A5%BD%EF%BC%8C%E7%A7%8D%E5%9C%B0%E5%B0%91%E5%B9%B4</x:v>
      </x:c>
      <x:c r="R14" s="85" t="str"/>
      <x:c r="S14" s="85" t="str">
        <x:v>农业游学节点，不应与直接助农混同。</x:v>
      </x:c>
      <x:c r="T14" s="85" t="str">
        <x:v>补齐节目季、期数、播出日期，并将县市中心坐标细化到实际项目地。</x:v>
      </x:c>
    </x:row>
    <x:row r="15" ht="43.5" customHeight="1">
      <x:c r="A15" s="84" t="str">
        <x:v>ZDB-L103</x:v>
      </x:c>
      <x:c r="B15" s="85" t="str">
        <x:v>山东寿光</x:v>
      </x:c>
      <x:c r="C15" s="85" t="str">
        <x:v>山东寿光</x:v>
      </x:c>
      <x:c r="D15" s="86" t="n">
        <x:v>36.857</x:v>
      </x:c>
      <x:c r="E15" s="86" t="n">
        <x:v>118.791</x:v>
      </x:c>
      <x:c r="F15" s="85" t="str">
        <x:v>county</x:v>
      </x:c>
      <x:c r="G15" s="85" t="str">
        <x:v>agri_learning</x:v>
      </x:c>
      <x:c r="H15" s="85" t="str">
        <x:f>XLOOKUP(G15,'字段字典'!$B$2:$B$23,'字段字典'!$C$2:$C$23,"")</x:f>
        <x:v>农业游学</x:v>
      </x:c>
      <x:c r="I15" s="85" t="str">
        <x:v>《你好，种地少年》</x:v>
      </x:c>
      <x:c r="J15" s="85" t="str">
        <x:v>设施农业、蔬菜大棚</x:v>
      </x:c>
      <x:c r="K15" s="85" t="str">
        <x:v>农业技术展示</x:v>
      </x:c>
      <x:c r="L15" s="85" t="str"/>
      <x:c r="M15" s="85" t="str">
        <x:v>设施农业、蔬菜大棚；农业技术展示</x:v>
      </x:c>
      <x:c r="N15" s="85" t="str">
        <x:v>observational</x:v>
      </x:c>
      <x:c r="O15" s="85" t="str">
        <x:v>partially_verified</x:v>
      </x:c>
      <x:c r="P15" s="85" t="str">
        <x:v>《你好，种地少年》节目地点汇总</x:v>
      </x:c>
      <x:c r="Q15" s="85" t="str">
        <x:v>https://zh.wikipedia.org/zh-hans/%E4%BD%A0%E5%A5%BD%EF%BC%8C%E7%A7%8D%E5%9C%B0%E5%B0%91%E5%B9%B4</x:v>
      </x:c>
      <x:c r="R15" s="85" t="str"/>
      <x:c r="S15" s="85" t="str">
        <x:v>农业游学节点，不应与直接助农混同。</x:v>
      </x:c>
      <x:c r="T15" s="85" t="str">
        <x:v>补齐节目季、期数、播出日期，并将县市中心坐标细化到实际项目地。</x:v>
      </x:c>
    </x:row>
    <x:row r="16" ht="43.5" customHeight="1">
      <x:c r="A16" s="84" t="str">
        <x:v>ZDB-L104</x:v>
      </x:c>
      <x:c r="B16" s="85" t="str">
        <x:v>山东章丘</x:v>
      </x:c>
      <x:c r="C16" s="85" t="str">
        <x:v>山东章丘</x:v>
      </x:c>
      <x:c r="D16" s="86" t="n">
        <x:v>36.713</x:v>
      </x:c>
      <x:c r="E16" s="86" t="n">
        <x:v>117.526</x:v>
      </x:c>
      <x:c r="F16" s="85" t="str">
        <x:v>county</x:v>
      </x:c>
      <x:c r="G16" s="85" t="str">
        <x:v>agri_learning</x:v>
      </x:c>
      <x:c r="H16" s="85" t="str">
        <x:f>XLOOKUP(G16,'字段字典'!$B$2:$B$23,'字段字典'!$C$2:$C$23,"")</x:f>
        <x:v>农业游学</x:v>
      </x:c>
      <x:c r="I16" s="85" t="str">
        <x:v>《你好，种地少年》</x:v>
      </x:c>
      <x:c r="J16" s="85" t="str">
        <x:v>章丘大葱及地方品种</x:v>
      </x:c>
      <x:c r="K16" s="85" t="str">
        <x:v>农产品文化展示</x:v>
      </x:c>
      <x:c r="L16" s="85" t="str"/>
      <x:c r="M16" s="85" t="str">
        <x:v>章丘大葱及地方品种；农产品文化展示</x:v>
      </x:c>
      <x:c r="N16" s="85" t="str">
        <x:v>observational</x:v>
      </x:c>
      <x:c r="O16" s="85" t="str">
        <x:v>partially_verified</x:v>
      </x:c>
      <x:c r="P16" s="85" t="str">
        <x:v>《你好，种地少年》节目地点汇总</x:v>
      </x:c>
      <x:c r="Q16" s="85" t="str">
        <x:v>https://zh.wikipedia.org/zh-hans/%E4%BD%A0%E5%A5%BD%EF%BC%8C%E7%A7%8D%E5%9C%B0%E5%B0%91%E5%B9%B4</x:v>
      </x:c>
      <x:c r="R16" s="85" t="str"/>
      <x:c r="S16" s="85" t="str">
        <x:v>农业游学节点，不应与直接助农混同。</x:v>
      </x:c>
      <x:c r="T16" s="85" t="str">
        <x:v>补齐节目季、期数、播出日期，并将县市中心坐标细化到实际项目地。</x:v>
      </x:c>
    </x:row>
    <x:row r="17" ht="43.5" customHeight="1">
      <x:c r="A17" s="84" t="str">
        <x:v>ZDB-L105</x:v>
      </x:c>
      <x:c r="B17" s="85" t="str">
        <x:v>内蒙古清水河县</x:v>
      </x:c>
      <x:c r="C17" s="85" t="str">
        <x:v>内蒙古清水河县</x:v>
      </x:c>
      <x:c r="D17" s="86" t="n">
        <x:v>39.92</x:v>
      </x:c>
      <x:c r="E17" s="86" t="n">
        <x:v>111.68</x:v>
      </x:c>
      <x:c r="F17" s="85" t="str">
        <x:v>county</x:v>
      </x:c>
      <x:c r="G17" s="85" t="str">
        <x:v>agri_learning</x:v>
      </x:c>
      <x:c r="H17" s="85" t="str">
        <x:f>XLOOKUP(G17,'字段字典'!$B$2:$B$23,'字段字典'!$C$2:$C$23,"")</x:f>
        <x:v>农业游学</x:v>
      </x:c>
      <x:c r="I17" s="85" t="str">
        <x:v>《你好，种地少年》</x:v>
      </x:c>
      <x:c r="J17" s="85" t="str">
        <x:v>小米、谷物收割、丰收节</x:v>
      </x:c>
      <x:c r="K17" s="85" t="str">
        <x:v>农耕文化展示</x:v>
      </x:c>
      <x:c r="L17" s="85" t="str"/>
      <x:c r="M17" s="85" t="str">
        <x:v>小米、谷物收割、丰收节；农耕文化展示</x:v>
      </x:c>
      <x:c r="N17" s="85" t="str">
        <x:v>observational</x:v>
      </x:c>
      <x:c r="O17" s="85" t="str">
        <x:v>partially_verified</x:v>
      </x:c>
      <x:c r="P17" s="85" t="str">
        <x:v>《你好，种地少年》节目地点汇总</x:v>
      </x:c>
      <x:c r="Q17" s="85" t="str">
        <x:v>https://zh.wikipedia.org/zh-hans/%E4%BD%A0%E5%A5%BD%EF%BC%8C%E7%A7%8D%E5%9C%B0%E5%B0%91%E5%B9%B4</x:v>
      </x:c>
      <x:c r="R17" s="85" t="str"/>
      <x:c r="S17" s="85" t="str">
        <x:v>农业游学节点，不应与直接助农混同。</x:v>
      </x:c>
      <x:c r="T17" s="85" t="str">
        <x:v>补齐节目季、期数、播出日期，并将县市中心坐标细化到实际项目地。</x:v>
      </x:c>
    </x:row>
    <x:row r="18" ht="43.5" customHeight="1">
      <x:c r="A18" s="84" t="str">
        <x:v>ZDB-L106</x:v>
      </x:c>
      <x:c r="B18" s="85" t="str">
        <x:v>内蒙古乌兰察布</x:v>
      </x:c>
      <x:c r="C18" s="85" t="str">
        <x:v>内蒙古乌兰察布</x:v>
      </x:c>
      <x:c r="D18" s="86" t="n">
        <x:v>40.994</x:v>
      </x:c>
      <x:c r="E18" s="86" t="n">
        <x:v>113.133</x:v>
      </x:c>
      <x:c r="F18" s="85" t="str">
        <x:v>city</x:v>
      </x:c>
      <x:c r="G18" s="85" t="str">
        <x:v>agri_learning</x:v>
      </x:c>
      <x:c r="H18" s="85" t="str">
        <x:f>XLOOKUP(G18,'字段字典'!$B$2:$B$23,'字段字典'!$C$2:$C$23,"")</x:f>
        <x:v>农业游学</x:v>
      </x:c>
      <x:c r="I18" s="85" t="str">
        <x:v>《你好，种地少年》</x:v>
      </x:c>
      <x:c r="J18" s="85" t="str">
        <x:v>马铃薯、草原农牧业</x:v>
      </x:c>
      <x:c r="K18" s="85" t="str">
        <x:v>农业游学</x:v>
      </x:c>
      <x:c r="L18" s="85" t="str"/>
      <x:c r="M18" s="85" t="str">
        <x:v>马铃薯、草原农牧业；农业游学</x:v>
      </x:c>
      <x:c r="N18" s="85" t="str">
        <x:v>observational</x:v>
      </x:c>
      <x:c r="O18" s="85" t="str">
        <x:v>partially_verified</x:v>
      </x:c>
      <x:c r="P18" s="85" t="str">
        <x:v>《你好，种地少年》节目地点汇总</x:v>
      </x:c>
      <x:c r="Q18" s="85" t="str">
        <x:v>https://zh.wikipedia.org/zh-hans/%E4%BD%A0%E5%A5%BD%EF%BC%8C%E7%A7%8D%E5%9C%B0%E5%B0%91%E5%B9%B4</x:v>
      </x:c>
      <x:c r="R18" s="85" t="str"/>
      <x:c r="S18" s="85" t="str">
        <x:v>农业游学节点，不应与直接助农混同。</x:v>
      </x:c>
      <x:c r="T18" s="85" t="str">
        <x:v>补齐节目季、期数、播出日期，并将县市中心坐标细化到实际项目地。</x:v>
      </x:c>
    </x:row>
    <x:row r="19" ht="43.5" customHeight="1">
      <x:c r="A19" s="84" t="str">
        <x:v>ZDB-L107</x:v>
      </x:c>
      <x:c r="B19" s="85" t="str">
        <x:v>新疆特克斯县</x:v>
      </x:c>
      <x:c r="C19" s="85" t="str">
        <x:v>新疆特克斯县</x:v>
      </x:c>
      <x:c r="D19" s="86" t="n">
        <x:v>43.217</x:v>
      </x:c>
      <x:c r="E19" s="86" t="n">
        <x:v>81.836</x:v>
      </x:c>
      <x:c r="F19" s="85" t="str">
        <x:v>county</x:v>
      </x:c>
      <x:c r="G19" s="85" t="str">
        <x:v>agri_learning</x:v>
      </x:c>
      <x:c r="H19" s="85" t="str">
        <x:f>XLOOKUP(G19,'字段字典'!$B$2:$B$23,'字段字典'!$C$2:$C$23,"")</x:f>
        <x:v>农业游学</x:v>
      </x:c>
      <x:c r="I19" s="85" t="str">
        <x:v>《你好，种地少年》</x:v>
      </x:c>
      <x:c r="J19" s="85" t="str">
        <x:v>红花采摘、经济作物</x:v>
      </x:c>
      <x:c r="K19" s="85" t="str">
        <x:v>产业曝光</x:v>
      </x:c>
      <x:c r="L19" s="85" t="str"/>
      <x:c r="M19" s="85" t="str">
        <x:v>红花采摘、经济作物；产业曝光</x:v>
      </x:c>
      <x:c r="N19" s="85" t="str">
        <x:v>observational</x:v>
      </x:c>
      <x:c r="O19" s="85" t="str">
        <x:v>partially_verified</x:v>
      </x:c>
      <x:c r="P19" s="85" t="str">
        <x:v>《你好，种地少年》节目地点汇总</x:v>
      </x:c>
      <x:c r="Q19" s="85" t="str">
        <x:v>https://zh.wikipedia.org/zh-hans/%E4%BD%A0%E5%A5%BD%EF%BC%8C%E7%A7%8D%E5%9C%B0%E5%B0%91%E5%B9%B4</x:v>
      </x:c>
      <x:c r="R19" s="85" t="str"/>
      <x:c r="S19" s="85" t="str">
        <x:v>农业游学节点，不应与直接助农混同。</x:v>
      </x:c>
      <x:c r="T19" s="85" t="str">
        <x:v>补齐节目季、期数、播出日期，并将县市中心坐标细化到实际项目地。</x:v>
      </x:c>
    </x:row>
    <x:row r="20" ht="43.5" customHeight="1">
      <x:c r="A20" s="84" t="str">
        <x:v>ZDB-L108</x:v>
      </x:c>
      <x:c r="B20" s="85" t="str">
        <x:v>甘肃定西</x:v>
      </x:c>
      <x:c r="C20" s="85" t="str">
        <x:v>甘肃定西</x:v>
      </x:c>
      <x:c r="D20" s="86" t="n">
        <x:v>35.581</x:v>
      </x:c>
      <x:c r="E20" s="86" t="n">
        <x:v>104.626</x:v>
      </x:c>
      <x:c r="F20" s="85" t="str">
        <x:v>city</x:v>
      </x:c>
      <x:c r="G20" s="85" t="str">
        <x:v>agri_learning</x:v>
      </x:c>
      <x:c r="H20" s="85" t="str">
        <x:f>XLOOKUP(G20,'字段字典'!$B$2:$B$23,'字段字典'!$C$2:$C$23,"")</x:f>
        <x:v>农业游学</x:v>
      </x:c>
      <x:c r="I20" s="85" t="str">
        <x:v>《你好，种地少年》</x:v>
      </x:c>
      <x:c r="J20" s="85" t="str">
        <x:v>马铃薯种植、滴灌技术</x:v>
      </x:c>
      <x:c r="K20" s="85" t="str">
        <x:v>农业技术展示</x:v>
      </x:c>
      <x:c r="L20" s="85" t="str"/>
      <x:c r="M20" s="85" t="str">
        <x:v>马铃薯种植、滴灌技术；农业技术展示</x:v>
      </x:c>
      <x:c r="N20" s="85" t="str">
        <x:v>observational</x:v>
      </x:c>
      <x:c r="O20" s="85" t="str">
        <x:v>partially_verified</x:v>
      </x:c>
      <x:c r="P20" s="85" t="str">
        <x:v>《你好，种地少年》节目地点汇总</x:v>
      </x:c>
      <x:c r="Q20" s="85" t="str">
        <x:v>https://zh.wikipedia.org/zh-hans/%E4%BD%A0%E5%A5%BD%EF%BC%8C%E7%A7%8D%E5%9C%B0%E5%B0%91%E5%B9%B4</x:v>
      </x:c>
      <x:c r="R20" s="85" t="str"/>
      <x:c r="S20" s="85" t="str">
        <x:v>农业游学节点，不应与直接助农混同。</x:v>
      </x:c>
      <x:c r="T20" s="85" t="str">
        <x:v>补齐节目季、期数、播出日期，并将县市中心坐标细化到实际项目地。</x:v>
      </x:c>
    </x:row>
    <x:row r="21" ht="43.5" customHeight="1">
      <x:c r="A21" s="84" t="str">
        <x:v>ZDB-L109</x:v>
      </x:c>
      <x:c r="B21" s="85" t="str">
        <x:v>浙江诸暨</x:v>
      </x:c>
      <x:c r="C21" s="85" t="str">
        <x:v>浙江诸暨</x:v>
      </x:c>
      <x:c r="D21" s="86" t="n">
        <x:v>29.709</x:v>
      </x:c>
      <x:c r="E21" s="86" t="n">
        <x:v>120.246</x:v>
      </x:c>
      <x:c r="F21" s="85" t="str">
        <x:v>county</x:v>
      </x:c>
      <x:c r="G21" s="85" t="str">
        <x:v>agri_learning</x:v>
      </x:c>
      <x:c r="H21" s="85" t="str">
        <x:f>XLOOKUP(G21,'字段字典'!$B$2:$B$23,'字段字典'!$C$2:$C$23,"")</x:f>
        <x:v>农业游学</x:v>
      </x:c>
      <x:c r="I21" s="85" t="str">
        <x:v>《你好，种地少年》</x:v>
      </x:c>
      <x:c r="J21" s="85" t="str">
        <x:v>淡水珍珠养殖</x:v>
      </x:c>
      <x:c r="K21" s="85" t="str">
        <x:v>特色养殖展示</x:v>
      </x:c>
      <x:c r="L21" s="85" t="str"/>
      <x:c r="M21" s="85" t="str">
        <x:v>淡水珍珠养殖；特色养殖展示</x:v>
      </x:c>
      <x:c r="N21" s="85" t="str">
        <x:v>observational</x:v>
      </x:c>
      <x:c r="O21" s="85" t="str">
        <x:v>partially_verified</x:v>
      </x:c>
      <x:c r="P21" s="85" t="str">
        <x:v>《你好，种地少年》节目地点汇总</x:v>
      </x:c>
      <x:c r="Q21" s="85" t="str">
        <x:v>https://zh.wikipedia.org/zh-hans/%E4%BD%A0%E5%A5%BD%EF%BC%8C%E7%A7%8D%E5%9C%B0%E5%B0%91%E5%B9%B4</x:v>
      </x:c>
      <x:c r="R21" s="85" t="str"/>
      <x:c r="S21" s="85" t="str">
        <x:v>农业游学节点，不应与直接助农混同。</x:v>
      </x:c>
      <x:c r="T21" s="85" t="str">
        <x:v>补齐节目季、期数、播出日期，并将县市中心坐标细化到实际项目地。</x:v>
      </x:c>
    </x:row>
  </x:sheetData>
  <x:conditionalFormatting sqref="O2:O21">
    <x:cfRule type="containsText" dxfId="0" priority="1" operator="containsText" text="verified"/>
    <x:cfRule type="containsText" dxfId="1" priority="2" operator="containsText" text="partially_verified"/>
  </x:conditionalFormatting>
  <x:dataValidations count="4">
    <x:dataValidation type="list" sqref="F2:F201">
      <x:formula1>"site,village,township,county,city,pending"</x:formula1>
    </x:dataValidation>
    <x:dataValidation type="list" sqref="G2:G201">
      <x:formula1>"direct_support,public_action,agri_learning,origin"</x:formula1>
    </x:dataValidation>
    <x:dataValidation type="list" sqref="N2:N201">
      <x:formula1>"completed,continuing,observational,pending"</x:formula1>
    </x:dataValidation>
    <x:dataValidation type="list" sqref="O2:O201">
      <x:formula1>"verified,partially_verified,pending,disputed"</x:formula1>
    </x:dataValidation>
  </x:dataValidations>
  <x:pageMargins left="0.7" right="0.7" top="0.75" bottom="0.75" header="0.3" footer="0.3"/>
  <x:legacyDrawing xmlns:r="http://schemas.openxmlformats.org/officeDocument/2006/relationships" r:id="R3e1f77bbf25941ab"/>
  <x:tableParts count="1">
    <x:tablePart xmlns:r="http://schemas.openxmlformats.org/officeDocument/2006/relationships" r:id="R0dc3253d831840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75" hidden="0" customWidth="1"/>
    <x:col min="3" max="3" width="13.75" hidden="0" customWidth="1"/>
    <x:col min="4" max="4" width="23.75" hidden="0" customWidth="1"/>
    <x:col min="5" max="5" width="12.5" hidden="0" customWidth="1"/>
    <x:col min="6" max="6" width="12.5" hidden="0" customWidth="1"/>
    <x:col min="7" max="7" width="27.5" hidden="0" customWidth="1"/>
    <x:col min="8" max="8" width="27.5" hidden="0" customWidth="1"/>
    <x:col min="9" max="9" width="27.5" hidden="0" customWidth="1"/>
    <x:col min="10" max="10" width="25" hidden="0" customWidth="1"/>
    <x:col min="11" max="11" width="22.5" hidden="0" customWidth="1"/>
    <x:col min="12" max="12" width="25" hidden="0" customWidth="1"/>
    <x:col min="13" max="13" width="25" hidden="0" customWidth="1"/>
    <x:col min="14" max="14" width="27.5" hidden="0" customWidth="1"/>
    <x:col min="15" max="15" width="32.5" hidden="0" customWidth="1"/>
    <x:col min="16" max="16" width="31.25" hidden="0" customWidth="1"/>
    <x:col min="17" max="17" width="32.5" hidden="0" customWidth="1"/>
  </x:cols>
  <x:sheetData>
    <x:row r="1">
      <x:c r="A1" s="78" t="str">
        <x:v>人物ID</x:v>
      </x:c>
      <x:c r="B1" s="79" t="str">
        <x:v>姓名</x:v>
      </x:c>
      <x:c r="C1" s="79" t="str">
        <x:v>常用称呼</x:v>
      </x:c>
      <x:c r="D1" s="79" t="str">
        <x:v>身份</x:v>
      </x:c>
      <x:c r="E1" s="79" t="str">
        <x:v>关联地点</x:v>
      </x:c>
      <x:c r="F1" s="79" t="str">
        <x:v>账号状态</x:v>
      </x:c>
      <x:c r="G1" s="79" t="str">
        <x:v>微博</x:v>
      </x:c>
      <x:c r="H1" s="79" t="str">
        <x:v>抖音</x:v>
      </x:c>
      <x:c r="I1" s="79" t="str">
        <x:v>小红书</x:v>
      </x:c>
      <x:c r="J1" s="79" t="str">
        <x:v>视频号</x:v>
      </x:c>
      <x:c r="K1" s="79" t="str">
        <x:v>微信公众号</x:v>
      </x:c>
      <x:c r="L1" s="79" t="str">
        <x:v>机构账号</x:v>
      </x:c>
      <x:c r="M1" s="79" t="str">
        <x:v>B站</x:v>
      </x:c>
      <x:c r="N1" s="79" t="str">
        <x:v>其他账号</x:v>
      </x:c>
      <x:c r="O1" s="79" t="str">
        <x:v>核验依据</x:v>
      </x:c>
      <x:c r="P1" s="79" t="str">
        <x:v>核验说明</x:v>
      </x:c>
      <x:c r="Q1" s="79" t="str">
        <x:v>待办</x:v>
      </x:c>
    </x:row>
    <x:row r="2" ht="46.5" customHeight="1">
      <x:c r="A2" s="87" t="str">
        <x:v>ZDB-P001</x:v>
      </x:c>
      <x:c r="B2" s="85" t="str">
        <x:v>仲麟</x:v>
      </x:c>
      <x:c r="C2" s="85" t="str"/>
      <x:c r="D2" s="85" t="str">
        <x:v>民勤返乡创业、治沙及助农青年</x:v>
      </x:c>
      <x:c r="E2" s="85" t="str">
        <x:v>ZDB-L001</x:v>
      </x:c>
      <x:c r="F2" s="85" t="str">
        <x:v>verified</x:v>
      </x:c>
      <x:c r="G2" s="85" t="str">
        <x:v>小仲沙漠变绿洲 | https://www.sina.cn/media/7375005167</x:v>
      </x:c>
      <x:c r="H2" s="85" t="str">
        <x:v>账号名“小仲—沙漠变绿洲”</x:v>
      </x:c>
      <x:c r="I2" s="85" t="str"/>
      <x:c r="J2" s="85" t="str"/>
      <x:c r="K2" s="85" t="str">
        <x:v>“沙漠种树的小仲”</x:v>
      </x:c>
      <x:c r="L2" s="85" t="str"/>
      <x:c r="M2" s="85" t="str"/>
      <x:c r="N2" s="85" t="str"/>
      <x:c r="O2" s="85" t="str">
        <x:v>微博账号与公开报道直接对应；新闻报道确认其以相关账号传播治沙、销售蜜瓜和人参果。</x:v>
      </x:c>
      <x:c r="P2" s="85" t="str"/>
      <x:c r="Q2" s="85" t="str">
        <x:v>补充各平台主页直链、账号 ID、认证状态与最后核验日期。</x:v>
      </x:c>
    </x:row>
    <x:row r="3" ht="46.5" customHeight="1">
      <x:c r="A3" s="87" t="str">
        <x:v>ZDB-P002</x:v>
      </x:c>
      <x:c r="B3" s="85" t="str">
        <x:v>马俊河</x:v>
      </x:c>
      <x:c r="C3" s="85" t="str">
        <x:v>马哥</x:v>
      </x:c>
      <x:c r="D3" s="85" t="str">
        <x:v>甘肃青梭公益发展中心执行主任</x:v>
      </x:c>
      <x:c r="E3" s="85" t="str">
        <x:v>ZDB-L002</x:v>
      </x:c>
      <x:c r="F3" s="85" t="str">
        <x:v>verified</x:v>
      </x:c>
      <x:c r="G3" s="85" t="str"/>
      <x:c r="H3" s="85" t="str"/>
      <x:c r="I3" s="85" t="str"/>
      <x:c r="J3" s="85" t="str"/>
      <x:c r="K3" s="85" t="str"/>
      <x:c r="L3" s="85" t="str">
        <x:v>“青梭公益”</x:v>
      </x:c>
      <x:c r="M3" s="85" t="str">
        <x:v>青梭公益 | https://space.bilibili.com/1836821327/</x:v>
      </x:c>
      <x:c r="N3" s="85" t="str"/>
      <x:c r="O3" s="85" t="str">
        <x:v>青梭公益官网列出各平台账号。</x:v>
      </x:c>
      <x:c r="P3" s="85" t="str"/>
      <x:c r="Q3" s="85" t="str">
        <x:v>补充抖音、小红书与视频号主页直链及账号 ID。</x:v>
      </x:c>
    </x:row>
    <x:row r="4" ht="46.5" customHeight="1">
      <x:c r="A4" s="87" t="str">
        <x:v>ZDB-P003</x:v>
      </x:c>
      <x:c r="B4" s="85" t="str">
        <x:v>更确木兰</x:v>
      </x:c>
      <x:c r="C4" s="85" t="str">
        <x:v>木兰校长</x:v>
      </x:c>
      <x:c r="D4" s="85" t="str">
        <x:v>玉树州藏医药职业学校校长</x:v>
      </x:c>
      <x:c r="E4" s="85" t="str">
        <x:v>ZDB-L003</x:v>
      </x:c>
      <x:c r="F4" s="85" t="str">
        <x:v>institutional</x:v>
      </x:c>
      <x:c r="G4" s="85" t="str"/>
      <x:c r="H4" s="85" t="str"/>
      <x:c r="I4" s="85" t="str"/>
      <x:c r="J4" s="85" t="str"/>
      <x:c r="K4" s="85" t="str"/>
      <x:c r="L4" s="85" t="str">
        <x:v>抖音“玉树州藏医药职业学校”</x:v>
      </x:c>
      <x:c r="M4" s="85" t="str"/>
      <x:c r="N4" s="85" t="str"/>
      <x:c r="O4" s="85" t="str"/>
      <x:c r="P4" s="85" t="str">
        <x:v>暂未找到能够证明属于更确木兰本人的微博或小红书账号。人物卡应链接学校官方账号，不能链接粉丝号或同名账号。</x:v>
      </x:c>
      <x:c r="Q4" s="85" t="str">
        <x:v>补充学校官方抖音主页直链、认证主体与其他官方平台。</x:v>
      </x:c>
    </x:row>
    <x:row r="5" ht="46.5" customHeight="1">
      <x:c r="A5" s="87" t="str">
        <x:v>ZDB-P004</x:v>
      </x:c>
      <x:c r="B5" s="85" t="str">
        <x:v>成林</x:v>
      </x:c>
      <x:c r="C5" s="85" t="str"/>
      <x:c r="D5" s="85" t="str">
        <x:v>囊谦娘拉乡温室大棚负责人、水培技术指导</x:v>
      </x:c>
      <x:c r="E5" s="85" t="str">
        <x:v>ZDB-L005</x:v>
      </x:c>
      <x:c r="F5" s="85" t="str">
        <x:v>unavailable</x:v>
      </x:c>
      <x:c r="G5" s="85" t="str"/>
      <x:c r="H5" s="85" t="str"/>
      <x:c r="I5" s="85" t="str"/>
      <x:c r="J5" s="85" t="str"/>
      <x:c r="K5" s="85" t="str"/>
      <x:c r="L5" s="85" t="str"/>
      <x:c r="M5" s="85" t="str"/>
      <x:c r="N5" s="85" t="str"/>
      <x:c r="O5" s="85" t="str"/>
      <x:c r="P5" s="85" t="str">
        <x:v>暂无可核实的个人公开账号。可在资料来源中关联囊谦县融媒体中心或当地农牧部门，但不得将机构账号写成本人账号。</x:v>
      </x:c>
      <x:c r="Q5" s="85" t="str">
        <x:v>等待本人、节目或当地机构明确公开账号。</x:v>
      </x:c>
    </x:row>
    <x:row r="6" ht="46.5" customHeight="1">
      <x:c r="A6" s="87" t="str">
        <x:v>ZDB-P005</x:v>
      </x:c>
      <x:c r="B6" s="85" t="str">
        <x:v>巴金</x:v>
      </x:c>
      <x:c r="C6" s="85" t="str"/>
      <x:c r="D6" s="85" t="str">
        <x:v>囊谦娘拉乡温室大棚相关人物</x:v>
      </x:c>
      <x:c r="E6" s="85" t="str">
        <x:v>ZDB-L005</x:v>
      </x:c>
      <x:c r="F6" s="85" t="str">
        <x:v>pending</x:v>
      </x:c>
      <x:c r="G6" s="85" t="str"/>
      <x:c r="H6" s="85" t="str"/>
      <x:c r="I6" s="85" t="str"/>
      <x:c r="J6" s="85" t="str"/>
      <x:c r="K6" s="85" t="str"/>
      <x:c r="L6" s="85" t="str"/>
      <x:c r="M6" s="85" t="str"/>
      <x:c r="N6" s="85" t="str"/>
      <x:c r="O6" s="85" t="str"/>
      <x:c r="P6" s="85" t="str"/>
      <x:c r="Q6" s="85" t="str">
        <x:v>核实全名、具体身份、节目作用和公开账号。</x:v>
      </x:c>
    </x:row>
    <x:row r="7" ht="46.5" customHeight="1">
      <x:c r="A7" s="87" t="str">
        <x:v>ZDB-P006</x:v>
      </x:c>
      <x:c r="B7" s="85" t="str">
        <x:v>江羊巴桑</x:v>
      </x:c>
      <x:c r="C7" s="85" t="str"/>
      <x:c r="D7" s="85" t="str">
        <x:v>白扎盐场传统制盐人</x:v>
      </x:c>
      <x:c r="E7" s="85" t="str">
        <x:v>ZDB-L004</x:v>
      </x:c>
      <x:c r="F7" s="85" t="str">
        <x:v>unavailable</x:v>
      </x:c>
      <x:c r="G7" s="85" t="str"/>
      <x:c r="H7" s="85" t="str"/>
      <x:c r="I7" s="85" t="str"/>
      <x:c r="J7" s="85" t="str"/>
      <x:c r="K7" s="85" t="str"/>
      <x:c r="L7" s="85" t="str"/>
      <x:c r="M7" s="85" t="str"/>
      <x:c r="N7" s="85" t="str"/>
      <x:c r="O7" s="85" t="str"/>
      <x:c r="P7" s="85" t="str">
        <x:v>暂无可核实的个人公开账号。人物卡暂时只放权威报道。</x:v>
      </x:c>
      <x:c r="Q7" s="85" t="str">
        <x:v>等待本人、节目或当地机构明确公开账号。</x:v>
      </x:c>
    </x:row>
    <x:row r="8" ht="46.5" customHeight="1">
      <x:c r="A8" s="87" t="str">
        <x:v>ZDB-P007</x:v>
      </x:c>
      <x:c r="B8" s="85" t="str">
        <x:v>高克新</x:v>
      </x:c>
      <x:c r="C8" s="85" t="str">
        <x:v>高叔</x:v>
      </x:c>
      <x:c r="D8" s="85" t="str">
        <x:v>林口县东兴村农人</x:v>
      </x:c>
      <x:c r="E8" s="85" t="str">
        <x:v>ZDB-L006</x:v>
      </x:c>
      <x:c r="F8" s="85" t="str">
        <x:v>verified</x:v>
      </x:c>
      <x:c r="G8" s="85" t="str">
        <x:v>建堂镇高克新 | https://www.sina.cn/media/7999580873</x:v>
      </x:c>
      <x:c r="H8" s="85" t="str"/>
      <x:c r="I8" s="85" t="str"/>
      <x:c r="J8" s="85" t="str"/>
      <x:c r="K8" s="85" t="str"/>
      <x:c r="L8" s="85" t="str"/>
      <x:c r="M8" s="85" t="str"/>
      <x:c r="N8" s="85" t="str"/>
      <x:c r="O8" s="85" t="str">
        <x:v>节目及媒体确认该账号为高克新在“518爱侬日”期间开设的真实账号。</x:v>
      </x:c>
      <x:c r="P8" s="85" t="str"/>
      <x:c r="Q8" s="85" t="str">
        <x:v>核对微博认证状态与其他官方平台。</x:v>
      </x:c>
    </x:row>
    <x:row r="9" ht="46.5" customHeight="1">
      <x:c r="A9" s="87" t="str">
        <x:v>ZDB-P008</x:v>
      </x:c>
      <x:c r="B9" s="85" t="str">
        <x:v>张婶</x:v>
      </x:c>
      <x:c r="C9" s="85" t="str"/>
      <x:c r="D9" s="85" t="str">
        <x:v>林口沙棘皂合伙人，高克新的伴侣／合作伙伴</x:v>
      </x:c>
      <x:c r="E9" s="85" t="str">
        <x:v>ZDB-L006</x:v>
      </x:c>
      <x:c r="F9" s="85" t="str">
        <x:v>unavailable</x:v>
      </x:c>
      <x:c r="G9" s="85" t="str"/>
      <x:c r="H9" s="85" t="str"/>
      <x:c r="I9" s="85" t="str"/>
      <x:c r="J9" s="85" t="str"/>
      <x:c r="K9" s="85" t="str"/>
      <x:c r="L9" s="85" t="str"/>
      <x:c r="M9" s="85" t="str"/>
      <x:c r="N9" s="85" t="str"/>
      <x:c r="O9" s="85" t="str"/>
      <x:c r="P9" s="85" t="str">
        <x:v>暂无可核实的独立公开账号，可与高克新作为夫妻或合伙人组合人物卡展示。</x:v>
      </x:c>
      <x:c r="Q9" s="85" t="str">
        <x:v>核实完整姓名、具体分工与公开账号。</x:v>
      </x:c>
    </x:row>
    <x:row r="10" ht="46.5" customHeight="1">
      <x:c r="A10" s="87" t="str">
        <x:v>ZDB-P009</x:v>
      </x:c>
      <x:c r="B10" s="85" t="str">
        <x:v>贺桂香</x:v>
      </x:c>
      <x:c r="C10" s="85" t="str">
        <x:v>贺大姐</x:v>
      </x:c>
      <x:c r="D10" s="85" t="str">
        <x:v>宁乡花猪养殖户</x:v>
      </x:c>
      <x:c r="E10" s="85" t="str">
        <x:v>ZDB-L007</x:v>
      </x:c>
      <x:c r="F10" s="85" t="str">
        <x:v>verified</x:v>
      </x:c>
      <x:c r="G10" s="85" t="str">
        <x:v>账号名“宁乡花猪贺桂香”</x:v>
      </x:c>
      <x:c r="H10" s="85" t="str">
        <x:v>宁乡花猪养殖-贺桂香 | https://www.douyin.com/user/MS4wLjABAAAAvVi2KbhK2yt5G9NM67RZs5uUHUm2KZ1DJU7O3kFusa75M89BeGhflNnb5QIYksx8</x:v>
      </x:c>
      <x:c r="I10" s="85" t="str"/>
      <x:c r="J10" s="85" t="str"/>
      <x:c r="K10" s="85" t="str"/>
      <x:c r="L10" s="85" t="str"/>
      <x:c r="M10" s="85" t="str"/>
      <x:c r="N10" s="85" t="str">
        <x:v>“花猪女神贺大姐直播号”</x:v>
      </x:c>
      <x:c r="O10" s="85" t="str">
        <x:v>抖音主页自述姓名、荣誉和《种地吧》拍摄信息；微博账号被公开报道直接引用。</x:v>
      </x:c>
      <x:c r="P10" s="85" t="str"/>
      <x:c r="Q10" s="85" t="str">
        <x:v>补充微博直链、各账号认证主体与最后核验日期。</x:v>
      </x:c>
    </x:row>
    <x:row r="11" ht="46.5" customHeight="1">
      <x:c r="A11" s="87" t="str">
        <x:v>ZDB-P010</x:v>
      </x:c>
      <x:c r="B11" s="85" t="str">
        <x:v>李鹏</x:v>
      </x:c>
      <x:c r="C11" s="85" t="str"/>
      <x:c r="D11" s="85" t="str">
        <x:v>策勒治沙、植枣相关人物</x:v>
      </x:c>
      <x:c r="E11" s="85" t="str">
        <x:v>ZDB-L010</x:v>
      </x:c>
      <x:c r="F11" s="85" t="str">
        <x:v>unavailable</x:v>
      </x:c>
      <x:c r="G11" s="85" t="str"/>
      <x:c r="H11" s="85" t="str"/>
      <x:c r="I11" s="85" t="str"/>
      <x:c r="J11" s="85" t="str"/>
      <x:c r="K11" s="85" t="str"/>
      <x:c r="L11" s="85" t="str"/>
      <x:c r="M11" s="85" t="str"/>
      <x:c r="N11" s="85" t="str"/>
      <x:c r="O11" s="85" t="str"/>
      <x:c r="P11" s="85" t="str">
        <x:v>暂无可核实个人公开账号，不得链接未经确认的同名账号。</x:v>
      </x:c>
      <x:c r="Q11" s="85" t="str">
        <x:v>核实完整履历及节目、当地政府或本人明确公开的账号。</x:v>
      </x:c>
    </x:row>
    <x:row r="12" ht="46.5" customHeight="1">
      <x:c r="A12" s="87" t="str">
        <x:v>ZDB-P011</x:v>
      </x:c>
      <x:c r="B12" s="85" t="str">
        <x:v>买吐地</x:v>
      </x:c>
      <x:c r="C12" s="85" t="str"/>
      <x:c r="D12" s="85" t="str">
        <x:v>于田沙漠玫瑰种植户</x:v>
      </x:c>
      <x:c r="E12" s="85" t="str">
        <x:v>ZDB-L009</x:v>
      </x:c>
      <x:c r="F12" s="85" t="str">
        <x:v>unavailable</x:v>
      </x:c>
      <x:c r="G12" s="85" t="str"/>
      <x:c r="H12" s="85" t="str"/>
      <x:c r="I12" s="85" t="str"/>
      <x:c r="J12" s="85" t="str"/>
      <x:c r="K12" s="85" t="str"/>
      <x:c r="L12" s="85" t="str"/>
      <x:c r="M12" s="85" t="str"/>
      <x:c r="N12" s="85" t="str"/>
      <x:c r="O12" s="85" t="str"/>
      <x:c r="P12" s="85" t="str">
        <x:v>节目人物身份可以确认，但暂无证据支持某个社交账号属于本人。</x:v>
      </x:c>
      <x:c r="Q12" s="85" t="str">
        <x:v>核实全名、所属村／合作社及公开账号。</x:v>
      </x:c>
    </x:row>
    <x:row r="13" ht="46.5" customHeight="1">
      <x:c r="A13" s="87" t="str">
        <x:v>ZDB-P012</x:v>
      </x:c>
      <x:c r="B13" s="85" t="str">
        <x:v>买哈扑司汗</x:v>
      </x:c>
      <x:c r="C13" s="85" t="str"/>
      <x:c r="D13" s="85" t="str">
        <x:v>于田沙漠玫瑰项目相关人物</x:v>
      </x:c>
      <x:c r="E13" s="85" t="str">
        <x:v>ZDB-L009</x:v>
      </x:c>
      <x:c r="F13" s="85" t="str">
        <x:v>pending</x:v>
      </x:c>
      <x:c r="G13" s="85" t="str"/>
      <x:c r="H13" s="85" t="str"/>
      <x:c r="I13" s="85" t="str"/>
      <x:c r="J13" s="85" t="str"/>
      <x:c r="K13" s="85" t="str"/>
      <x:c r="L13" s="85" t="str"/>
      <x:c r="M13" s="85" t="str"/>
      <x:c r="N13" s="85" t="str"/>
      <x:c r="O13" s="85" t="str"/>
      <x:c r="P13" s="85" t="str"/>
      <x:c r="Q13" s="85" t="str">
        <x:v>核实姓名汉字写法、身份、所属村／合作社及公开账号。</x:v>
      </x:c>
    </x:row>
    <x:row r="14" ht="46.5" customHeight="1">
      <x:c r="A14" s="87" t="str">
        <x:v>ZDB-P013</x:v>
      </x:c>
      <x:c r="B14" s="85" t="str">
        <x:v>肉孜</x:v>
      </x:c>
      <x:c r="C14" s="85" t="str"/>
      <x:c r="D14" s="85" t="str">
        <x:v>加依村村主任</x:v>
      </x:c>
      <x:c r="E14" s="85" t="str">
        <x:v>ZDB-L009</x:v>
      </x:c>
      <x:c r="F14" s="85" t="str">
        <x:v>unavailable</x:v>
      </x:c>
      <x:c r="G14" s="85" t="str"/>
      <x:c r="H14" s="85" t="str"/>
      <x:c r="I14" s="85" t="str"/>
      <x:c r="J14" s="85" t="str"/>
      <x:c r="K14" s="85" t="str"/>
      <x:c r="L14" s="85" t="str"/>
      <x:c r="M14" s="85" t="str"/>
      <x:c r="N14" s="85" t="str"/>
      <x:c r="O14" s="85" t="str"/>
      <x:c r="P14" s="85" t="str">
        <x:v>“肉孜”重名率很高，在节目或当地官方给出明确链接之前，不得绑定任何同名账号。</x:v>
      </x:c>
      <x:c r="Q14" s="85" t="str">
        <x:v>核实全名、加依村完整行政区划及官方信息页。</x:v>
      </x:c>
    </x:row>
  </x:sheetData>
  <x:dataValidations count="1">
    <x:dataValidation type="list" sqref="F2:F201">
      <x:formula1>"verified,institutional,unavailable,pending"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f12ca8ccef4a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6.25" hidden="0" customWidth="1"/>
    <x:col min="3" max="3" width="42.5" hidden="0" customWidth="1"/>
    <x:col min="4" max="4" width="32.5" hidden="0" customWidth="1"/>
    <x:col min="5" max="5" width="12.5" hidden="0" customWidth="1"/>
    <x:col min="6" max="6" width="12.5" hidden="0" customWidth="1"/>
    <x:col min="7" max="7" width="30" hidden="0" customWidth="1"/>
  </x:cols>
  <x:sheetData>
    <x:row r="1">
      <x:c r="A1" s="78" t="str">
        <x:v>来源ID</x:v>
      </x:c>
      <x:c r="B1" s="79" t="str">
        <x:v>来源标题/机构</x:v>
      </x:c>
      <x:c r="C1" s="79" t="str">
        <x:v>来源URL</x:v>
      </x:c>
      <x:c r="D1" s="79" t="str">
        <x:v>关联章节/节点</x:v>
      </x:c>
      <x:c r="E1" s="79" t="str">
        <x:v>来源级别</x:v>
      </x:c>
      <x:c r="F1" s="79" t="str">
        <x:v>访问日期</x:v>
      </x:c>
      <x:c r="G1" s="79" t="str">
        <x:v>备注</x:v>
      </x:c>
    </x:row>
    <x:row r="2" ht="39" customHeight="1">
      <x:c r="A2" s="87" t="str">
        <x:v>ZDB-S001</x:v>
      </x:c>
      <x:c r="B2" s="85" t="str">
        <x:v>环球人物</x:v>
      </x:c>
      <x:c r="C2" s="85" t="str">
        <x:v>https://www.globalpeople.com.cn/n4/2026/0504/c305917-21647511.html</x:v>
      </x:c>
      <x:c r="D2" s="85" t="str">
        <x:v>ZDB-L001｜甘肃民勤治沙行动</x:v>
      </x:c>
      <x:c r="E2" s="85" t="str">
        <x:v>待判定</x:v>
      </x:c>
      <x:c r="F2" s="88" t="n">
        <x:v>46233</x:v>
      </x:c>
      <x:c r="G2" s="85" t="str"/>
    </x:row>
    <x:row r="3" ht="39" customHeight="1">
      <x:c r="A3" s="87" t="str">
        <x:v>ZDB-S002</x:v>
      </x:c>
      <x:c r="B3" s="85" t="str">
        <x:v>青梭公益官网</x:v>
      </x:c>
      <x:c r="C3" s="85" t="str">
        <x:v>https://www.qingsuo.cn/</x:v>
      </x:c>
      <x:c r="D3" s="85" t="str">
        <x:v>ZDB-L002｜民勤昌宁镇四方墩生态林基地；ZDB-P002｜马俊河</x:v>
      </x:c>
      <x:c r="E3" s="85" t="str">
        <x:v>待判定</x:v>
      </x:c>
      <x:c r="F3" s="88" t="n">
        <x:v>46233</x:v>
      </x:c>
      <x:c r="G3" s="85" t="str"/>
    </x:row>
    <x:row r="4" ht="39" customHeight="1">
      <x:c r="A4" s="87" t="str">
        <x:v>ZDB-S003</x:v>
      </x:c>
      <x:c r="B4" s="85" t="str">
        <x:v>中新网青海</x:v>
      </x:c>
      <x:c r="C4" s="85" t="str">
        <x:v>https://www.qh.chinanews.com.cn/sh/news/2025/0321/133704.html</x:v>
      </x:c>
      <x:c r="D4" s="85" t="str">
        <x:v>ZDB-L003｜玉树州藏医药职业学校</x:v>
      </x:c>
      <x:c r="E4" s="85" t="str">
        <x:v>待判定</x:v>
      </x:c>
      <x:c r="F4" s="88" t="n">
        <x:v>46233</x:v>
      </x:c>
      <x:c r="G4" s="85" t="str"/>
    </x:row>
    <x:row r="5" ht="39" customHeight="1">
      <x:c r="A5" s="87" t="str">
        <x:v>ZDB-S004</x:v>
      </x:c>
      <x:c r="B5" s="85" t="str">
        <x:v>中国农业大学转载报道</x:v>
      </x:c>
      <x:c r="C5" s="85" t="str">
        <x:v>https://news.cau.edu.cn/mtndnew/294c5976e377445787bf1e30a9bcd010.htm</x:v>
      </x:c>
      <x:c r="D5" s="85" t="str">
        <x:v>ZDB-L004｜囊谦白扎盐场；ZDB-L010｜新疆策勒阿日希村与红枣产业</x:v>
      </x:c>
      <x:c r="E5" s="85" t="str">
        <x:v>待判定</x:v>
      </x:c>
      <x:c r="F5" s="88" t="n">
        <x:v>46233</x:v>
      </x:c>
      <x:c r="G5" s="85" t="str"/>
    </x:row>
    <x:row r="6" ht="39" customHeight="1">
      <x:c r="A6" s="87" t="str">
        <x:v>ZDB-S005</x:v>
      </x:c>
      <x:c r="B6" s="85" t="str">
        <x:v>中国青年报</x:v>
      </x:c>
      <x:c r="C6" s="85" t="str">
        <x:v>https://m.cyol.com/gb/articles/2025-08/23/content_PbeKQaux0B.html</x:v>
      </x:c>
      <x:c r="D6" s="85" t="str">
        <x:v>ZDB-L005｜囊谦娘拉乡娘麦村温室大棚</x:v>
      </x:c>
      <x:c r="E6" s="85" t="str">
        <x:v>待判定</x:v>
      </x:c>
      <x:c r="F6" s="88" t="n">
        <x:v>46233</x:v>
      </x:c>
      <x:c r="G6" s="85" t="str"/>
    </x:row>
    <x:row r="7" ht="39" customHeight="1">
      <x:c r="A7" s="87" t="str">
        <x:v>ZDB-S006</x:v>
      </x:c>
      <x:c r="B7" s="85" t="str">
        <x:v>相关公开报道</x:v>
      </x:c>
      <x:c r="C7" s="85" t="str">
        <x:v>https://www.sohu.com/a/897694912_121106822</x:v>
      </x:c>
      <x:c r="D7" s="85" t="str">
        <x:v>ZDB-L006｜黑龙江林口县建堂镇东兴村</x:v>
      </x:c>
      <x:c r="E7" s="85" t="str">
        <x:v>待判定</x:v>
      </x:c>
      <x:c r="F7" s="88" t="n">
        <x:v>46233</x:v>
      </x:c>
      <x:c r="G7" s="85" t="str"/>
    </x:row>
    <x:row r="8" ht="39" customHeight="1">
      <x:c r="A8" s="87" t="str">
        <x:v>ZDB-S007</x:v>
      </x:c>
      <x:c r="B8" s="85" t="str">
        <x:v>湖南日报／新湖南</x:v>
      </x:c>
      <x:c r="C8" s="85" t="str">
        <x:v>https://www.hunantoday.cn/news/xhn/202605/32741255.html</x:v>
      </x:c>
      <x:c r="D8" s="85" t="str">
        <x:v>ZDB-L007｜湖南宁乡流沙河镇草冲村</x:v>
      </x:c>
      <x:c r="E8" s="85" t="str">
        <x:v>待判定</x:v>
      </x:c>
      <x:c r="F8" s="88" t="n">
        <x:v>46233</x:v>
      </x:c>
      <x:c r="G8" s="85" t="str"/>
    </x:row>
    <x:row r="9" ht="39" customHeight="1">
      <x:c r="A9" s="87" t="str">
        <x:v>ZDB-S008</x:v>
      </x:c>
      <x:c r="B9" s="85" t="str">
        <x:v>央视网</x:v>
      </x:c>
      <x:c r="C9" s="85" t="str">
        <x:v>https://ghrp.cctv.com/2026/05/22/ARTIzhIxW0OUmBAMpeZM46y5260522.shtml</x:v>
      </x:c>
      <x:c r="D9" s="85" t="str">
        <x:v>ZDB-L008｜西藏墨脱茶叶与辣椒产业；ZDB-L009｜新疆于田沙漠玫瑰与锁边工程</x:v>
      </x:c>
      <x:c r="E9" s="85" t="str">
        <x:v>待判定</x:v>
      </x:c>
      <x:c r="F9" s="88" t="n">
        <x:v>46233</x:v>
      </x:c>
      <x:c r="G9" s="85" t="str"/>
    </x:row>
    <x:row r="10" ht="39" customHeight="1">
      <x:c r="A10" s="87" t="str">
        <x:v>ZDB-S009</x:v>
      </x:c>
      <x:c r="B10" s="85" t="str">
        <x:v>小仲沙漠变绿洲</x:v>
      </x:c>
      <x:c r="C10" s="85" t="str">
        <x:v>https://www.sina.cn/media/7375005167</x:v>
      </x:c>
      <x:c r="D10" s="85" t="str">
        <x:v>ZDB-P001｜仲麟</x:v>
      </x:c>
      <x:c r="E10" s="85" t="str">
        <x:v>待判定</x:v>
      </x:c>
      <x:c r="F10" s="88" t="n">
        <x:v>46233</x:v>
      </x:c>
      <x:c r="G10" s="85" t="str"/>
    </x:row>
    <x:row r="11" ht="39" customHeight="1">
      <x:c r="A11" s="87" t="str">
        <x:v>ZDB-S010</x:v>
      </x:c>
      <x:c r="B11" s="85" t="str">
        <x:v>青梭公益</x:v>
      </x:c>
      <x:c r="C11" s="85" t="str">
        <x:v>https://space.bilibili.com/1836821327/</x:v>
      </x:c>
      <x:c r="D11" s="85" t="str">
        <x:v>ZDB-P002｜马俊河</x:v>
      </x:c>
      <x:c r="E11" s="85" t="str">
        <x:v>待判定</x:v>
      </x:c>
      <x:c r="F11" s="88" t="n">
        <x:v>46233</x:v>
      </x:c>
      <x:c r="G11" s="85" t="str"/>
    </x:row>
    <x:row r="12" ht="39" customHeight="1">
      <x:c r="A12" s="87" t="str">
        <x:v>ZDB-S011</x:v>
      </x:c>
      <x:c r="B12" s="85" t="str">
        <x:v>建堂镇高克新</x:v>
      </x:c>
      <x:c r="C12" s="85" t="str">
        <x:v>https://www.sina.cn/media/7999580873</x:v>
      </x:c>
      <x:c r="D12" s="85" t="str">
        <x:v>ZDB-P007｜高克新</x:v>
      </x:c>
      <x:c r="E12" s="85" t="str">
        <x:v>待判定</x:v>
      </x:c>
      <x:c r="F12" s="88" t="n">
        <x:v>46233</x:v>
      </x:c>
      <x:c r="G12" s="85" t="str"/>
    </x:row>
    <x:row r="13" ht="39" customHeight="1">
      <x:c r="A13" s="87" t="str">
        <x:v>ZDB-S012</x:v>
      </x:c>
      <x:c r="B13" s="85" t="str">
        <x:v>宁乡花猪养殖-贺桂香</x:v>
      </x:c>
      <x:c r="C13" s="85" t="str">
        <x:v>https://www.douyin.com/user/MS4wLjABAAAAvVi2KbhK2yt5G9NM67RZs5uUHUm2KZ1DJU7O3kFusa75M89BeGhflNnb5QIYksx8</x:v>
      </x:c>
      <x:c r="D13" s="85" t="str">
        <x:v>ZDB-P009｜贺桂香</x:v>
      </x:c>
      <x:c r="E13" s="85" t="str">
        <x:v>待判定</x:v>
      </x:c>
      <x:c r="F13" s="88" t="n">
        <x:v>46233</x:v>
      </x:c>
      <x:c r="G13" s="85" t="str"/>
    </x:row>
    <x:row r="14" ht="39" customHeight="1">
      <x:c r="A14" s="87" t="str">
        <x:v>ZDB-S013</x:v>
      </x:c>
      <x:c r="B14" s="85" t="str">
        <x:v>《你好，种地少年》节目地点汇总</x:v>
      </x:c>
      <x:c r="C14" s="85" t="str">
        <x:v>https://zh.wikipedia.org/zh-hans/%E4%BD%A0%E5%A5%BD%EF%BC%8C%E7%A7%8D%E5%9C%B0%E5%B0%91%E5%B9%B4</x:v>
      </x:c>
      <x:c r="D14" s="85" t="str">
        <x:v>本节来源</x:v>
      </x:c>
      <x:c r="E14" s="85" t="str">
        <x:v>待判定</x:v>
      </x:c>
      <x:c r="F14" s="88" t="n">
        <x:v>46233</x:v>
      </x:c>
      <x:c r="G14" s="85" t="str"/>
    </x:row>
    <x:row r="15" ht="39" customHeight="1">
      <x:c r="A15" s="87" t="str">
        <x:v>ZDB-S014</x:v>
      </x:c>
      <x:c r="B15" s="85" t="str">
        <x:v>中国青年报：第二季相关报道</x:v>
      </x:c>
      <x:c r="C15" s="85" t="str">
        <x:v>https://news.cyol.com/gb/articles/2024-10/30/content_6zPNpmsjxW.html</x:v>
      </x:c>
      <x:c r="D15" s="85" t="str">
        <x:v>本节来源</x:v>
      </x:c>
      <x:c r="E15" s="85" t="str">
        <x:v>待判定</x:v>
      </x:c>
      <x:c r="F15" s="88" t="n">
        <x:v>46233</x:v>
      </x:c>
      <x:c r="G15" s="85" t="str"/>
    </x:row>
    <x:row r="16" ht="39" customHeight="1">
      <x:c r="A16" s="87" t="str">
        <x:v>ZDB-S015</x:v>
      </x:c>
      <x:c r="B16" s="85" t="str">
        <x:v>第三季收官相关报道</x:v>
      </x:c>
      <x:c r="C16" s="85" t="str">
        <x:v>https://m.dzplus.dzng.com/share/general/0/NEWS2551969GMYLSIXYTBDOG</x:v>
      </x:c>
      <x:c r="D16" s="85" t="str">
        <x:v>第三季</x:v>
      </x:c>
      <x:c r="E16" s="85" t="str">
        <x:v>待判定</x:v>
      </x:c>
      <x:c r="F16" s="88" t="n">
        <x:v>46233</x:v>
      </x:c>
      <x:c r="G16" s="85" t="str"/>
    </x:row>
  </x:sheetData>
  <x:dataValidations count="1">
    <x:dataValidation type="list" sqref="E2:E201">
      <x:formula1>"primary,authoritative_media,secondary,clue_only,待判定"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1eda0a56f943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41.25" hidden="0" customWidth="1"/>
    <x:col min="4" max="4" width="30" hidden="0" customWidth="1"/>
    <x:col min="5" max="5" width="41.25" hidden="0" customWidth="1"/>
    <x:col min="6" max="6" width="12.5" hidden="0" customWidth="1"/>
  </x:cols>
  <x:sheetData>
    <x:row r="1">
      <x:c r="A1" s="78" t="str">
        <x:v>待办ID</x:v>
      </x:c>
      <x:c r="B1" s="79" t="str">
        <x:v>优先级</x:v>
      </x:c>
      <x:c r="C1" s="79" t="str">
        <x:v>内容</x:v>
      </x:c>
      <x:c r="D1" s="79" t="str">
        <x:v>原因</x:v>
      </x:c>
      <x:c r="E1" s="79" t="str">
        <x:v>完成标准</x:v>
      </x:c>
      <x:c r="F1" s="79" t="str">
        <x:v>状态</x:v>
      </x:c>
    </x:row>
    <x:row r="2" ht="42" customHeight="1">
      <x:c r="A2" s="87" t="str">
        <x:v>ZDB-T001</x:v>
      </x:c>
      <x:c r="B2" s="85" t="str">
        <x:v>高</x:v>
      </x:c>
      <x:c r="C2" s="85" t="str">
        <x:v>核准玉树州藏医药职业学校精确坐标与正式名称</x:v>
      </x:c>
      <x:c r="D2" s="85" t="str">
        <x:v>用户重点示例；当前仅县城级坐标</x:v>
      </x:c>
      <x:c r="E2" s="85" t="str">
        <x:v>学校官方地址＋至少一个独立可靠来源</x:v>
      </x:c>
      <x:c r="F2" s="85" t="str">
        <x:v>pending</x:v>
      </x:c>
    </x:row>
    <x:row r="3" ht="42" customHeight="1">
      <x:c r="A3" s="87" t="str">
        <x:v>ZDB-T002</x:v>
      </x:c>
      <x:c r="B3" s="85" t="str">
        <x:v>高</x:v>
      </x:c>
      <x:c r="C3" s="85" t="str">
        <x:v>核准阿日希村完整行政区划和坐标</x:v>
      </x:c>
      <x:c r="D3" s="85" t="str">
        <x:v>当前坐标为策勒县级锚点</x:v>
      </x:c>
      <x:c r="E3" s="85" t="str">
        <x:v>村级官方资料或可靠地图链接</x:v>
      </x:c>
      <x:c r="F3" s="85" t="str">
        <x:v>pending</x:v>
      </x:c>
    </x:row>
    <x:row r="4" ht="42" customHeight="1">
      <x:c r="A4" s="87" t="str">
        <x:v>ZDB-T003</x:v>
      </x:c>
      <x:c r="B4" s="85" t="str">
        <x:v>高</x:v>
      </x:c>
      <x:c r="C4" s="85" t="str">
        <x:v>核准于田加依村及玫瑰项目坐标</x:v>
      </x:c>
      <x:c r="D4" s="85" t="str">
        <x:v>当前为县级锚点，人物信息也不完整</x:v>
      </x:c>
      <x:c r="E4" s="85" t="str">
        <x:v>村级坐标＋项目主体＋代表人物全名</x:v>
      </x:c>
      <x:c r="F4" s="85" t="str">
        <x:v>pending</x:v>
      </x:c>
    </x:row>
    <x:row r="5" ht="42" customHeight="1">
      <x:c r="A5" s="87" t="str">
        <x:v>ZDB-T004</x:v>
      </x:c>
      <x:c r="B5" s="85" t="str">
        <x:v>高</x:v>
      </x:c>
      <x:c r="C5" s="85" t="str">
        <x:v>核准白扎盐场具体位置</x:v>
      </x:c>
      <x:c r="D5" s="85" t="str">
        <x:v>当前使用白扎乡中心点</x:v>
      </x:c>
      <x:c r="E5" s="85" t="str">
        <x:v>盐场公开地址、地图点或可交叉验证的影像线索</x:v>
      </x:c>
      <x:c r="F5" s="85" t="str">
        <x:v>pending</x:v>
      </x:c>
    </x:row>
    <x:row r="6" ht="42" customHeight="1">
      <x:c r="A6" s="87" t="str">
        <x:v>ZDB-T005</x:v>
      </x:c>
      <x:c r="B6" s="85" t="str">
        <x:v>高</x:v>
      </x:c>
      <x:c r="C6" s="85" t="str">
        <x:v>补齐所有已核实账号的主页直链与账号 ID</x:v>
      </x:c>
      <x:c r="D6" s="85" t="str">
        <x:v>便于人物卡直接跳转，并防止重名</x:v>
      </x:c>
      <x:c r="E6" s="85" t="str">
        <x:v>直链、平台、账号 ID、认证主体、核验日期齐全</x:v>
      </x:c>
      <x:c r="F6" s="85" t="str">
        <x:v>pending</x:v>
      </x:c>
    </x:row>
    <x:row r="7" ht="42" customHeight="1">
      <x:c r="A7" s="87" t="str">
        <x:v>ZDB-T101</x:v>
      </x:c>
      <x:c r="B7" s="85" t="str">
        <x:v>中</x:v>
      </x:c>
      <x:c r="C7" s="85" t="str">
        <x:v>补齐各节点具体节目期数和播出日期</x:v>
      </x:c>
      <x:c r="D7" s="85" t="str"/>
      <x:c r="E7" s="85" t="str">
        <x:v>节目名、季、期、播出日期、时间码</x:v>
      </x:c>
      <x:c r="F7" s="85" t="str">
        <x:v>pending</x:v>
      </x:c>
    </x:row>
    <x:row r="8" ht="42" customHeight="1">
      <x:c r="A8" s="87" t="str">
        <x:v>ZDB-T102</x:v>
      </x:c>
      <x:c r="B8" s="85" t="str">
        <x:v>中</x:v>
      </x:c>
      <x:c r="C8" s="85" t="str">
        <x:v>追踪第四季项目半年及一年后的持续效果</x:v>
      </x:c>
      <x:c r="D8" s="85" t="str"/>
      <x:c r="E8" s="85" t="str">
        <x:v>销量、收入、就业或项目延续的可靠数据</x:v>
      </x:c>
      <x:c r="F8" s="85" t="str">
        <x:v>pending</x:v>
      </x:c>
    </x:row>
    <x:row r="9" ht="42" customHeight="1">
      <x:c r="A9" s="87" t="str">
        <x:v>ZDB-T103</x:v>
      </x:c>
      <x:c r="B9" s="85" t="str">
        <x:v>中</x:v>
      </x:c>
      <x:c r="C9" s="85" t="str">
        <x:v>补齐《你好，种地少年》宁夏、重庆、广东节点</x:v>
      </x:c>
      <x:c r="D9" s="85" t="str"/>
      <x:c r="E9" s="85" t="str">
        <x:v>具体地点、项目、坐标、来源</x:v>
      </x:c>
      <x:c r="F9" s="85" t="str">
        <x:v>pending</x:v>
      </x:c>
    </x:row>
    <x:row r="10" ht="42" customHeight="1">
      <x:c r="A10" s="87" t="str">
        <x:v>ZDB-T104</x:v>
      </x:c>
      <x:c r="B10" s="85" t="str">
        <x:v>中</x:v>
      </x:c>
      <x:c r="C10" s="85" t="str">
        <x:v>将游学节点细化至实际项目地</x:v>
      </x:c>
      <x:c r="D10" s="85" t="str"/>
      <x:c r="E10" s="85" t="str">
        <x:v>从县市中心更新到村、合作社或产业园</x:v>
      </x:c>
      <x:c r="F10" s="85" t="str">
        <x:v>pending</x:v>
      </x:c>
    </x:row>
    <x:row r="11" ht="42" customHeight="1">
      <x:c r="A11" s="87" t="str">
        <x:v>ZDB-T105</x:v>
      </x:c>
      <x:c r="B11" s="85" t="str">
        <x:v>中</x:v>
      </x:c>
      <x:c r="C11" s="85" t="str">
        <x:v>为转载报道寻找原始发布页</x:v>
      </x:c>
      <x:c r="D11" s="85" t="str"/>
      <x:c r="E11" s="85" t="str">
        <x:v>原始发布机构链接可正常访问</x:v>
      </x:c>
      <x:c r="F11" s="85" t="str">
        <x:v>pending</x:v>
      </x:c>
    </x:row>
  </x:sheetData>
  <x:conditionalFormatting sqref="B2:B11">
    <x:cfRule type="containsText" dxfId="2" priority="1" operator="containsText" text="高"/>
    <x:cfRule type="containsText" dxfId="3" priority="2" operator="containsText" text="中"/>
  </x:conditionalFormatting>
  <x:dataValidations count="2">
    <x:dataValidation type="list" sqref="B2:B201">
      <x:formula1>"高,中,低"</x:formula1>
    </x:dataValidation>
    <x:dataValidation type="list" sqref="F2:F201">
      <x:formula1>"pending,in_progress,completed,blocked"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3f5f01eeab4d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1.25" hidden="0" customWidth="1"/>
    <x:col min="3" max="3" width="18.75" hidden="0" customWidth="1"/>
    <x:col min="4" max="4" width="52.5" hidden="0" customWidth="1"/>
  </x:cols>
  <x:sheetData>
    <x:row r="1">
      <x:c r="A1" s="78" t="str">
        <x:v>字段组</x:v>
      </x:c>
      <x:c r="B1" s="79" t="str">
        <x:v>代码</x:v>
      </x:c>
      <x:c r="C1" s="79" t="str">
        <x:v>中文含义</x:v>
      </x:c>
      <x:c r="D1" s="79" t="str">
        <x:v>使用规则</x:v>
      </x:c>
    </x:row>
    <x:row r="2" ht="31.5" customHeight="1">
      <x:c r="A2" s="87" t="str">
        <x:v>nodeType</x:v>
      </x:c>
      <x:c r="B2" s="85" t="str">
        <x:v>direct_support</x:v>
      </x:c>
      <x:c r="C2" s="85" t="str">
        <x:v>直接助农</x:v>
      </x:c>
      <x:c r="D2" s="85" t="str">
        <x:v>已有可核查的销售、增收、就业、技术落地、设施改善或产业建设结果</x:v>
      </x:c>
    </x:row>
    <x:row r="3" ht="31.5" customHeight="1">
      <x:c r="A3" s="87" t="str">
        <x:v>nodeType</x:v>
      </x:c>
      <x:c r="B3" s="85" t="str">
        <x:v>public_action</x:v>
      </x:c>
      <x:c r="C3" s="85" t="str">
        <x:v>公众行动</x:v>
      </x:c>
      <x:c r="D3" s="85" t="str">
        <x:v>公众可以实际参与的植树、治沙、志愿服务、公益认养或消费助农</x:v>
      </x:c>
    </x:row>
    <x:row r="4" ht="31.5" customHeight="1">
      <x:c r="A4" s="87" t="str">
        <x:v>nodeType</x:v>
      </x:c>
      <x:c r="B4" s="85" t="str">
        <x:v>agri_learning</x:v>
      </x:c>
      <x:c r="C4" s="85" t="str">
        <x:v>农业游学</x:v>
      </x:c>
      <x:c r="D4" s="85" t="str">
        <x:v>农业科普、产业参观、农耕文化或地方产品展示</x:v>
      </x:c>
    </x:row>
    <x:row r="5" ht="31.5" customHeight="1">
      <x:c r="A5" s="87" t="str">
        <x:v>nodeType</x:v>
      </x:c>
      <x:c r="B5" s="85" t="str">
        <x:v>origin</x:v>
      </x:c>
      <x:c r="C5" s="85" t="str">
        <x:v>行动发源地</x:v>
      </x:c>
      <x:c r="D5" s="85" t="str">
        <x:v>节目农业实践、产品研发和公益行动的起点</x:v>
      </x:c>
    </x:row>
    <x:row r="6" ht="31.5" customHeight="1">
      <x:c r="A6" s="87" t="str">
        <x:v>coordinateAccuracy</x:v>
      </x:c>
      <x:c r="B6" s="85" t="str">
        <x:v>site</x:v>
      </x:c>
      <x:c r="C6" s="85" t="str">
        <x:v>地点级</x:v>
      </x:c>
      <x:c r="D6" s="85" t="str">
        <x:v>建筑、基地或项目点的精确坐标</x:v>
      </x:c>
    </x:row>
    <x:row r="7" ht="31.5" customHeight="1">
      <x:c r="A7" s="87" t="str">
        <x:v>coordinateAccuracy</x:v>
      </x:c>
      <x:c r="B7" s="85" t="str">
        <x:v>village</x:v>
      </x:c>
      <x:c r="C7" s="85" t="str">
        <x:v>村级</x:v>
      </x:c>
      <x:c r="D7" s="85" t="str">
        <x:v>村庄中心或村域锚点</x:v>
      </x:c>
    </x:row>
    <x:row r="8" ht="31.5" customHeight="1">
      <x:c r="A8" s="87" t="str">
        <x:v>coordinateAccuracy</x:v>
      </x:c>
      <x:c r="B8" s="85" t="str">
        <x:v>township</x:v>
      </x:c>
      <x:c r="C8" s="85" t="str">
        <x:v>乡镇级</x:v>
      </x:c>
      <x:c r="D8" s="85" t="str">
        <x:v>乡镇中心锚点，不代表具体项目边界</x:v>
      </x:c>
    </x:row>
    <x:row r="9" ht="31.5" customHeight="1">
      <x:c r="A9" s="87" t="str">
        <x:v>coordinateAccuracy</x:v>
      </x:c>
      <x:c r="B9" s="85" t="str">
        <x:v>county</x:v>
      </x:c>
      <x:c r="C9" s="85" t="str">
        <x:v>县级</x:v>
      </x:c>
      <x:c r="D9" s="85" t="str">
        <x:v>县城中心锚点，不代表具体项目位置</x:v>
      </x:c>
    </x:row>
    <x:row r="10" ht="31.5" customHeight="1">
      <x:c r="A10" s="87" t="str">
        <x:v>coordinateAccuracy</x:v>
      </x:c>
      <x:c r="B10" s="85" t="str">
        <x:v>city</x:v>
      </x:c>
      <x:c r="C10" s="85" t="str">
        <x:v>市级</x:v>
      </x:c>
      <x:c r="D10" s="85" t="str">
        <x:v>市级中心锚点</x:v>
      </x:c>
    </x:row>
    <x:row r="11" ht="31.5" customHeight="1">
      <x:c r="A11" s="87" t="str">
        <x:v>coordinateAccuracy</x:v>
      </x:c>
      <x:c r="B11" s="85" t="str">
        <x:v>pending</x:v>
      </x:c>
      <x:c r="C11" s="85" t="str">
        <x:v>待核准</x:v>
      </x:c>
      <x:c r="D11" s="85" t="str">
        <x:v>暂无可靠公开坐标</x:v>
      </x:c>
    </x:row>
    <x:row r="12" ht="31.5" customHeight="1">
      <x:c r="A12" s="87" t="str">
        <x:v>impactStatus</x:v>
      </x:c>
      <x:c r="B12" s="85" t="str">
        <x:v>completed</x:v>
      </x:c>
      <x:c r="C12" s="85" t="str">
        <x:v>已完成</x:v>
      </x:c>
      <x:c r="D12" s="85" t="str">
        <x:v>项目已结束且结果可确认</x:v>
      </x:c>
    </x:row>
    <x:row r="13" ht="31.5" customHeight="1">
      <x:c r="A13" s="87" t="str">
        <x:v>impactStatus</x:v>
      </x:c>
      <x:c r="B13" s="85" t="str">
        <x:v>continuing</x:v>
      </x:c>
      <x:c r="C13" s="85" t="str">
        <x:v>持续推进</x:v>
      </x:c>
      <x:c r="D13" s="85" t="str">
        <x:v>项目或影响仍在延续</x:v>
      </x:c>
    </x:row>
    <x:row r="14" ht="31.5" customHeight="1">
      <x:c r="A14" s="87" t="str">
        <x:v>impactStatus</x:v>
      </x:c>
      <x:c r="B14" s="85" t="str">
        <x:v>observational</x:v>
      </x:c>
      <x:c r="C14" s="85" t="str">
        <x:v>观察记录</x:v>
      </x:c>
      <x:c r="D14" s="85" t="str">
        <x:v>仅记录到访、展示或短期现象</x:v>
      </x:c>
    </x:row>
    <x:row r="15" ht="31.5" customHeight="1">
      <x:c r="A15" s="87" t="str">
        <x:v>impactStatus</x:v>
      </x:c>
      <x:c r="B15" s="85" t="str">
        <x:v>pending</x:v>
      </x:c>
      <x:c r="C15" s="85" t="str">
        <x:v>待确认</x:v>
      </x:c>
      <x:c r="D15" s="85" t="str">
        <x:v>影响状态缺少充分资料</x:v>
      </x:c>
    </x:row>
    <x:row r="16" ht="31.5" customHeight="1">
      <x:c r="A16" s="87" t="str">
        <x:v>verificationStatus</x:v>
      </x:c>
      <x:c r="B16" s="85" t="str">
        <x:v>verified</x:v>
      </x:c>
      <x:c r="C16" s="85" t="str">
        <x:v>已核验</x:v>
      </x:c>
      <x:c r="D16" s="85" t="str">
        <x:v>已有可靠来源直接支持</x:v>
      </x:c>
    </x:row>
    <x:row r="17" ht="31.5" customHeight="1">
      <x:c r="A17" s="87" t="str">
        <x:v>verificationStatus</x:v>
      </x:c>
      <x:c r="B17" s="85" t="str">
        <x:v>partially_verified</x:v>
      </x:c>
      <x:c r="C17" s="85" t="str">
        <x:v>部分核验</x:v>
      </x:c>
      <x:c r="D17" s="85" t="str">
        <x:v>部分事实或坐标仍需补充</x:v>
      </x:c>
    </x:row>
    <x:row r="18" ht="31.5" customHeight="1">
      <x:c r="A18" s="87" t="str">
        <x:v>verificationStatus</x:v>
      </x:c>
      <x:c r="B18" s="85" t="str">
        <x:v>pending</x:v>
      </x:c>
      <x:c r="C18" s="85" t="str">
        <x:v>待核验</x:v>
      </x:c>
      <x:c r="D18" s="85" t="str">
        <x:v>尚未完成核验</x:v>
      </x:c>
    </x:row>
    <x:row r="19" ht="31.5" customHeight="1">
      <x:c r="A19" s="87" t="str">
        <x:v>verificationStatus</x:v>
      </x:c>
      <x:c r="B19" s="85" t="str">
        <x:v>disputed</x:v>
      </x:c>
      <x:c r="C19" s="85" t="str">
        <x:v>有争议</x:v>
      </x:c>
      <x:c r="D19" s="85" t="str">
        <x:v>来源或结论存在冲突</x:v>
      </x:c>
    </x:row>
    <x:row r="20" ht="31.5" customHeight="1">
      <x:c r="A20" s="87" t="str">
        <x:v>accountStatus</x:v>
      </x:c>
      <x:c r="B20" s="85" t="str">
        <x:v>verified</x:v>
      </x:c>
      <x:c r="C20" s="85" t="str">
        <x:v>本人账号已核验</x:v>
      </x:c>
      <x:c r="D20" s="85" t="str">
        <x:v>可直接关联人物卡</x:v>
      </x:c>
    </x:row>
    <x:row r="21" ht="31.5" customHeight="1">
      <x:c r="A21" s="87" t="str">
        <x:v>accountStatus</x:v>
      </x:c>
      <x:c r="B21" s="85" t="str">
        <x:v>institutional</x:v>
      </x:c>
      <x:c r="C21" s="85" t="str">
        <x:v>机构账号</x:v>
      </x:c>
      <x:c r="D21" s="85" t="str">
        <x:v>仅可作为所属机构账号展示</x:v>
      </x:c>
    </x:row>
    <x:row r="22" ht="31.5" customHeight="1">
      <x:c r="A22" s="87" t="str">
        <x:v>accountStatus</x:v>
      </x:c>
      <x:c r="B22" s="85" t="str">
        <x:v>unavailable</x:v>
      </x:c>
      <x:c r="C22" s="85" t="str">
        <x:v>未找到</x:v>
      </x:c>
      <x:c r="D22" s="85" t="str">
        <x:v>暂无可核实的个人公开账号</x:v>
      </x:c>
    </x:row>
    <x:row r="23" ht="31.5" customHeight="1">
      <x:c r="A23" s="87" t="str">
        <x:v>accountStatus</x:v>
      </x:c>
      <x:c r="B23" s="85" t="str">
        <x:v>pending</x:v>
      </x:c>
      <x:c r="C23" s="85" t="str">
        <x:v>待核验</x:v>
      </x:c>
      <x:c r="D23" s="85" t="str">
        <x:v>账号归属仍需确认</x:v>
      </x:c>
    </x:row>
  </x:sheetData>
  <x:pageMargins left="0.7" right="0.7" top="0.75" bottom="0.75" header="0.3" footer="0.3"/>
  <x:tableParts count="1">
    <x:tablePart xmlns:r="http://schemas.openxmlformats.org/officeDocument/2006/relationships" r:id="Rf98eb2a6f73245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3.75" hidden="0" customWidth="1"/>
    <x:col min="3" max="3" width="65" hidden="0" customWidth="1"/>
    <x:col min="4" max="4" width="15" hidden="0" customWidth="1"/>
  </x:cols>
  <x:sheetData>
    <x:row r="1">
      <x:c r="A1" s="78" t="str">
        <x:v>版本</x:v>
      </x:c>
      <x:c r="B1" s="79" t="str">
        <x:v>日期</x:v>
      </x:c>
      <x:c r="C1" s="79" t="str">
        <x:v>变更内容</x:v>
      </x:c>
      <x:c r="D1" s="79" t="str">
        <x:v>状态</x:v>
      </x:c>
    </x:row>
    <x:row r="2" ht="36" customHeight="1">
      <x:c r="A2" s="87" t="str">
        <x:v>v0.1</x:v>
      </x:c>
      <x:c r="B2" s="88" t="n">
        <x:v>46233</x:v>
      </x:c>
      <x:c r="C2" s="85" t="str">
        <x:v>建立主档案；整合11个核心地点、9个农业游学地点、13名代表人物、账号核验结果、更新规范与待查队列</x:v>
      </x:c>
      <x:c r="D2" s="85" t="str">
        <x:v>当前版本</x:v>
      </x:c>
    </x:row>
  </x:sheetData>
  <x:pageMargins left="0.7" right="0.7" top="0.75" bottom="0.75" header="0.3" footer="0.3"/>
  <x:tableParts count="1">
    <x:tablePart xmlns:r="http://schemas.openxmlformats.org/officeDocument/2006/relationships" r:id="R44c66a7134b44f55"/>
  </x:tableParts>
</x:worksheet>
</file>